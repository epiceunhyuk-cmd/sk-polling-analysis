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nowledge Networks" sheetId="1" r:id="rId4"/>
    <sheet state="visible" name="Public Opinion StrategiesHamilt" sheetId="2" r:id="rId5"/>
    <sheet state="visible" name="McKeon &amp; Associates" sheetId="3" r:id="rId6"/>
  </sheets>
  <definedNames/>
  <calcPr/>
</workbook>
</file>

<file path=xl/sharedStrings.xml><?xml version="1.0" encoding="utf-8"?>
<sst xmlns="http://schemas.openxmlformats.org/spreadsheetml/2006/main" count="38" uniqueCount="31">
  <si>
    <t>Year</t>
  </si>
  <si>
    <r>
      <rPr>
        <rFont val="Arial"/>
        <color theme="1"/>
        <sz val="10.0"/>
      </rPr>
      <t>Year before calculations 
(</t>
    </r>
    <r>
      <rPr>
        <rFont val="Arial"/>
        <i/>
        <color theme="1"/>
        <sz val="10.0"/>
      </rPr>
      <t>d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</si>
  <si>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Median Field Date (</t>
    </r>
    <r>
      <rPr>
        <rFont val="Arial"/>
        <i/>
        <color theme="1"/>
        <sz val="10.0"/>
      </rPr>
      <t>x)</t>
    </r>
  </si>
  <si>
    <r>
      <rPr>
        <rFont val="Arial"/>
        <color theme="1"/>
        <sz val="10.0"/>
      </rPr>
      <t>Sample Size 
(</t>
    </r>
    <r>
      <rPr>
        <rFont val="Arial"/>
        <i/>
        <color theme="1"/>
        <sz val="10.0"/>
      </rPr>
      <t>y</t>
    </r>
    <r>
      <rPr>
        <rFont val="Arial"/>
        <color theme="1"/>
        <sz val="10.0"/>
      </rPr>
      <t>)</t>
    </r>
  </si>
  <si>
    <t>Meets condition for collection</t>
  </si>
  <si>
    <r>
      <rPr>
        <rFont val="Arial"/>
        <color theme="1"/>
        <sz val="10.0"/>
      </rPr>
      <t>Weight
(</t>
    </r>
    <r>
      <rPr>
        <rFont val="Arial"/>
        <i/>
        <color theme="1"/>
        <sz val="10.0"/>
      </rPr>
      <t>w</t>
    </r>
    <r>
      <rPr>
        <rFont val="Arial"/>
        <color theme="1"/>
        <sz val="10.0"/>
      </rPr>
      <t>)</t>
    </r>
  </si>
  <si>
    <t>x</t>
  </si>
  <si>
    <t>Pollster name</t>
  </si>
  <si>
    <t>Rating 1
(Accuracy heavy)</t>
  </si>
  <si>
    <t>Rating 2
(Transparency heavy)</t>
  </si>
  <si>
    <t>Rating 3
(Varying weights on accuracy and transparency)</t>
  </si>
  <si>
    <t>Average rating</t>
  </si>
  <si>
    <t>한국갤럽조사연구소</t>
  </si>
  <si>
    <t>리서치앤리서치</t>
  </si>
  <si>
    <t>KSOI</t>
  </si>
  <si>
    <t>한국리서치</t>
  </si>
  <si>
    <t>리얼미터</t>
  </si>
  <si>
    <t>조원씨앤아이</t>
  </si>
  <si>
    <t>에이스리서치</t>
  </si>
  <si>
    <t>리서치뷰</t>
  </si>
  <si>
    <t>칸타코리아</t>
  </si>
  <si>
    <t>PNR</t>
  </si>
  <si>
    <t>Year before calculations</t>
  </si>
  <si>
    <t>Median Field Date</t>
  </si>
  <si>
    <t>Sample Size</t>
  </si>
  <si>
    <t>Weight</t>
  </si>
  <si>
    <t>2524,3119,7406,2008,TX,Pres-P,2008_Pres-D-P_TX,Public Opinion Strategies/Hamilton Campaigns,261,TRUE,TRUE,Live Phone,5,NA,2008-02-12,2008-03-04,21,400,Hillary Rodham Clinton,45,DEM,49,50.87795210133197,Barack Obama,41,DEM,41,47.39070033732338,8,3.4872517640085903</t>
  </si>
  <si>
    <t>2524,3123,7407,2008,TX,Pres-P,2008_Pres-R-P_TX,Public Opinion Strategies/Hamilton Campaigns,261,TRUE,TRUE,Live Phone,6,NA,2008-02-12,2008-03-04,21,400,John McCain,44,REP,45,51.21894823690728,Mike Huckabee,47,REP,41,38.023462881756295,4,13.195485355150986</t>
  </si>
  <si>
    <t>34512,42272,4,2014,IL,Sen-G,2014_Sen-G_IL,McKeon &amp; Associates,202,FALSE,TRUE,Live Phone,6,NA,2014-10-28,2014-11-04,7,823,Richard J. Durbin,6112,DEM,49,53.54868393922718,James D. Oberweis,6116,REP,39,42.69498787157776,10,10.853696067649423</t>
  </si>
  <si>
    <t>34512,112348,1252,2014,IL,Gov-G,2014_Gov-G_IL,McKeon &amp; Associates,202,FALSE,TRUE,Live Phone,4,NA,2014-10-28,2014-11-04,7,823,Pat Quinn,8658,DEM,45,46.34748283342843,Bruce Rauner,8659,REP,42,50.269648178317325,3,-3.922165344888896</t>
  </si>
  <si>
    <t>36604,50236,7611,2016,IL,Pres-P,2016_Pres-D-P_IL,McKeon &amp; Associates,202,FALSE,TRUE,IVR/Live Phone,4,NA,2016-03-12,2016-03-15,3,428,Hillary Rodham Clinton,9207,DEM,31,50.560857801402406,Bernard Sanders,9739,DEM,30,48.612410124865825,1,1.9484476765365812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</si>
</sst>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sz val="12.0"/>
      <color rgb="FF000000"/>
      <name val="&quot;Aptos Narrow&quot;"/>
    </font>
    <font>
      <color rgb="FF000000"/>
      <name val="Arial"/>
    </font>
    <font>
      <b/>
      <sz val="11.0"/>
      <color rgb="FF222222"/>
      <name val="Arial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3" xfId="0" applyAlignment="1" applyFont="1" applyNumberFormat="1">
      <alignment horizontal="right" readingOrder="0" shrinkToFit="0" vertical="bottom" wrapText="0"/>
    </xf>
    <xf borderId="0" fillId="0" fontId="5" numFmtId="3" xfId="0" applyAlignment="1" applyFont="1" applyNumberFormat="1">
      <alignment horizontal="right" vertical="bottom"/>
    </xf>
    <xf borderId="0" fillId="0" fontId="6" numFmtId="0" xfId="0" applyAlignment="1" applyFont="1">
      <alignment readingOrder="0" shrinkToFit="0" vertical="bottom" wrapText="0"/>
    </xf>
    <xf borderId="0" fillId="2" fontId="7" numFmtId="0" xfId="0" applyAlignment="1" applyFill="1" applyFon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0" fillId="0" fontId="3" numFmtId="4" xfId="0" applyAlignment="1" applyFont="1" applyNumberFormat="1">
      <alignment horizontal="center"/>
    </xf>
    <xf borderId="0" fillId="0" fontId="9" numFmtId="0" xfId="0" applyAlignment="1" applyFont="1">
      <alignment readingOrder="0" shrinkToFit="0" vertical="bottom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5"/>
    <col customWidth="1" min="4" max="4" width="15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1">
        <v>1.0</v>
      </c>
      <c r="B2" s="3">
        <v>2008.0</v>
      </c>
      <c r="C2" s="3">
        <f t="shared" ref="C2:C9" si="1">2023 - B2</f>
        <v>15</v>
      </c>
      <c r="D2" s="3">
        <v>55.0</v>
      </c>
      <c r="E2" s="3">
        <v>1546.0</v>
      </c>
      <c r="F2" s="3" t="s">
        <v>6</v>
      </c>
      <c r="G2" s="4">
        <f t="shared" ref="G2:G9" si="2">0.86^C2</f>
        <v>0.1041062417</v>
      </c>
      <c r="H2" s="5"/>
      <c r="K2" s="6">
        <v>4.5</v>
      </c>
    </row>
    <row r="3">
      <c r="A3" s="1">
        <v>2.0</v>
      </c>
      <c r="B3" s="3">
        <v>2008.0</v>
      </c>
      <c r="C3" s="3">
        <f t="shared" si="1"/>
        <v>15</v>
      </c>
      <c r="D3" s="3">
        <v>27.0</v>
      </c>
      <c r="E3" s="3">
        <v>1528.0</v>
      </c>
      <c r="F3" s="4"/>
      <c r="G3" s="4">
        <f t="shared" si="2"/>
        <v>0.1041062417</v>
      </c>
      <c r="H3" s="7"/>
      <c r="K3" s="6">
        <v>9.4</v>
      </c>
    </row>
    <row r="4">
      <c r="A4" s="1">
        <v>3.0</v>
      </c>
      <c r="B4" s="3">
        <v>2008.0</v>
      </c>
      <c r="C4" s="3">
        <f t="shared" si="1"/>
        <v>15</v>
      </c>
      <c r="D4" s="3">
        <v>13.0</v>
      </c>
      <c r="E4" s="3">
        <v>1537.0</v>
      </c>
      <c r="F4" s="4"/>
      <c r="G4" s="4">
        <f t="shared" si="2"/>
        <v>0.1041062417</v>
      </c>
      <c r="H4" s="7"/>
      <c r="K4" s="6">
        <v>5.9</v>
      </c>
    </row>
    <row r="5">
      <c r="A5" s="1">
        <v>4.0</v>
      </c>
      <c r="B5" s="3">
        <v>2003.0</v>
      </c>
      <c r="C5" s="3">
        <f t="shared" si="1"/>
        <v>20</v>
      </c>
      <c r="D5" s="3">
        <v>21.0</v>
      </c>
      <c r="E5" s="3">
        <v>702.0</v>
      </c>
      <c r="F5" s="4"/>
      <c r="G5" s="4">
        <f t="shared" si="2"/>
        <v>0.04897438882</v>
      </c>
      <c r="H5" s="7"/>
    </row>
    <row r="6">
      <c r="A6" s="1">
        <v>5.0</v>
      </c>
      <c r="B6" s="3">
        <v>2003.0</v>
      </c>
      <c r="C6" s="3">
        <f t="shared" si="1"/>
        <v>20</v>
      </c>
      <c r="D6" s="3">
        <v>7.0</v>
      </c>
      <c r="E6" s="3">
        <v>702.0</v>
      </c>
      <c r="F6" s="4"/>
      <c r="G6" s="4">
        <f t="shared" si="2"/>
        <v>0.04897438882</v>
      </c>
      <c r="H6" s="7"/>
    </row>
    <row r="7">
      <c r="A7" s="1">
        <v>6.0</v>
      </c>
      <c r="B7" s="3">
        <v>2004.0</v>
      </c>
      <c r="C7" s="3">
        <f t="shared" si="1"/>
        <v>19</v>
      </c>
      <c r="D7" s="3">
        <v>53.0</v>
      </c>
      <c r="E7" s="3">
        <v>959.0</v>
      </c>
      <c r="F7" s="3" t="s">
        <v>6</v>
      </c>
      <c r="G7" s="4">
        <f t="shared" si="2"/>
        <v>0.05694696374</v>
      </c>
      <c r="H7" s="7"/>
    </row>
    <row r="8">
      <c r="A8" s="1">
        <v>7.0</v>
      </c>
      <c r="B8" s="3">
        <v>2004.0</v>
      </c>
      <c r="C8" s="3">
        <f t="shared" si="1"/>
        <v>19</v>
      </c>
      <c r="D8" s="3">
        <v>18.0</v>
      </c>
      <c r="E8" s="3">
        <v>968.0</v>
      </c>
      <c r="F8" s="4"/>
      <c r="G8" s="4">
        <f t="shared" si="2"/>
        <v>0.05694696374</v>
      </c>
      <c r="H8" s="8"/>
    </row>
    <row r="9">
      <c r="A9" s="1">
        <v>8.0</v>
      </c>
      <c r="B9" s="3">
        <v>2006.0</v>
      </c>
      <c r="C9" s="3">
        <f t="shared" si="1"/>
        <v>17</v>
      </c>
      <c r="D9" s="3">
        <v>28.0</v>
      </c>
      <c r="E9" s="3">
        <v>1058.0</v>
      </c>
      <c r="F9" s="4"/>
      <c r="G9" s="4">
        <f t="shared" si="2"/>
        <v>0.0769969764</v>
      </c>
      <c r="H9" s="8"/>
    </row>
    <row r="10">
      <c r="A10" s="9"/>
    </row>
    <row r="11">
      <c r="A11" s="9"/>
    </row>
    <row r="12">
      <c r="A12" s="9"/>
    </row>
    <row r="13">
      <c r="A13" s="9"/>
    </row>
    <row r="14">
      <c r="A14" s="9"/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32">
      <c r="B32" s="10" t="s">
        <v>7</v>
      </c>
      <c r="C32" s="10" t="s">
        <v>8</v>
      </c>
      <c r="D32" s="10" t="s">
        <v>9</v>
      </c>
      <c r="E32" s="10" t="s">
        <v>10</v>
      </c>
      <c r="F32" s="6" t="s">
        <v>11</v>
      </c>
    </row>
    <row r="33">
      <c r="B33" s="11" t="s">
        <v>12</v>
      </c>
      <c r="C33" s="10">
        <v>3.01</v>
      </c>
      <c r="D33" s="10">
        <v>2.92</v>
      </c>
      <c r="E33" s="10">
        <v>3.05</v>
      </c>
      <c r="F33" s="12">
        <f t="shared" ref="F33:F42" si="3">AVERAGE(C33:E33)</f>
        <v>2.993333333</v>
      </c>
    </row>
    <row r="34">
      <c r="B34" s="11" t="s">
        <v>13</v>
      </c>
      <c r="C34" s="10">
        <v>2.75</v>
      </c>
      <c r="D34" s="10">
        <v>2.6</v>
      </c>
      <c r="E34" s="10">
        <v>2.83</v>
      </c>
      <c r="F34" s="12">
        <f t="shared" si="3"/>
        <v>2.726666667</v>
      </c>
    </row>
    <row r="35">
      <c r="B35" s="11" t="s">
        <v>14</v>
      </c>
      <c r="C35" s="10">
        <v>2.61</v>
      </c>
      <c r="D35" s="10">
        <v>2.43</v>
      </c>
      <c r="E35" s="10">
        <v>2.7</v>
      </c>
      <c r="F35" s="12">
        <f t="shared" si="3"/>
        <v>2.58</v>
      </c>
    </row>
    <row r="36">
      <c r="B36" s="11" t="s">
        <v>15</v>
      </c>
      <c r="C36" s="10">
        <v>2.52</v>
      </c>
      <c r="D36" s="10">
        <v>2.56</v>
      </c>
      <c r="E36" s="10">
        <v>2.49</v>
      </c>
      <c r="F36" s="12">
        <f t="shared" si="3"/>
        <v>2.523333333</v>
      </c>
    </row>
    <row r="37">
      <c r="B37" s="11" t="s">
        <v>16</v>
      </c>
      <c r="C37" s="10">
        <v>2.3</v>
      </c>
      <c r="D37" s="10">
        <v>2.15</v>
      </c>
      <c r="E37" s="10">
        <v>2.43</v>
      </c>
      <c r="F37" s="12">
        <f t="shared" si="3"/>
        <v>2.293333333</v>
      </c>
    </row>
    <row r="38">
      <c r="B38" s="11" t="s">
        <v>17</v>
      </c>
      <c r="C38" s="10">
        <v>2.36</v>
      </c>
      <c r="D38" s="10">
        <v>2.16</v>
      </c>
      <c r="E38" s="10">
        <v>2.39</v>
      </c>
      <c r="F38" s="12">
        <f t="shared" si="3"/>
        <v>2.303333333</v>
      </c>
    </row>
    <row r="39">
      <c r="B39" s="11" t="s">
        <v>18</v>
      </c>
      <c r="C39" s="10">
        <v>2.36</v>
      </c>
      <c r="D39" s="10">
        <v>2.13</v>
      </c>
      <c r="E39" s="10">
        <v>2.25</v>
      </c>
      <c r="F39" s="12">
        <f t="shared" si="3"/>
        <v>2.246666667</v>
      </c>
    </row>
    <row r="40">
      <c r="B40" s="11" t="s">
        <v>19</v>
      </c>
      <c r="C40" s="10">
        <v>2.1</v>
      </c>
      <c r="D40" s="10">
        <v>1.97</v>
      </c>
      <c r="E40" s="10">
        <v>2.09</v>
      </c>
      <c r="F40" s="12">
        <f t="shared" si="3"/>
        <v>2.053333333</v>
      </c>
    </row>
    <row r="41">
      <c r="B41" s="11" t="s">
        <v>20</v>
      </c>
      <c r="C41" s="10">
        <v>2.06</v>
      </c>
      <c r="D41" s="10">
        <v>2.24</v>
      </c>
      <c r="E41" s="10">
        <v>2.03</v>
      </c>
      <c r="F41" s="12">
        <f t="shared" si="3"/>
        <v>2.11</v>
      </c>
    </row>
    <row r="42">
      <c r="B42" s="11" t="s">
        <v>21</v>
      </c>
      <c r="C42" s="10">
        <v>2.03</v>
      </c>
      <c r="D42" s="10">
        <v>1.91</v>
      </c>
      <c r="E42" s="10">
        <v>1.98</v>
      </c>
      <c r="F42" s="12">
        <f t="shared" si="3"/>
        <v>1.973333333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6" t="s">
        <v>0</v>
      </c>
      <c r="C1" s="6" t="s">
        <v>22</v>
      </c>
      <c r="D1" s="6" t="s">
        <v>23</v>
      </c>
      <c r="E1" s="6" t="s">
        <v>24</v>
      </c>
      <c r="G1" s="6" t="s">
        <v>25</v>
      </c>
    </row>
    <row r="2">
      <c r="A2" s="13">
        <v>1.0</v>
      </c>
      <c r="B2" s="6">
        <v>2008.0</v>
      </c>
      <c r="C2" s="6">
        <f t="shared" ref="C2:C3" si="1">2023-B2</f>
        <v>15</v>
      </c>
      <c r="D2" s="6">
        <v>21.0</v>
      </c>
      <c r="E2" s="6">
        <v>400.0</v>
      </c>
      <c r="G2" s="14">
        <f t="shared" ref="G2:G3" si="2">0.84^C2</f>
        <v>0.07314578261</v>
      </c>
      <c r="K2" s="6">
        <v>9.4</v>
      </c>
    </row>
    <row r="3">
      <c r="A3" s="13">
        <v>2.0</v>
      </c>
      <c r="B3" s="6">
        <v>2008.0</v>
      </c>
      <c r="C3" s="6">
        <f t="shared" si="1"/>
        <v>15</v>
      </c>
      <c r="D3" s="6">
        <v>21.0</v>
      </c>
      <c r="E3" s="6">
        <v>400.0</v>
      </c>
      <c r="G3" s="14">
        <f t="shared" si="2"/>
        <v>0.07314578261</v>
      </c>
    </row>
    <row r="12">
      <c r="A12" s="9" t="s">
        <v>26</v>
      </c>
    </row>
    <row r="13">
      <c r="A13" s="9" t="s">
        <v>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6" t="s">
        <v>0</v>
      </c>
      <c r="C1" s="6" t="s">
        <v>22</v>
      </c>
      <c r="D1" s="6" t="s">
        <v>23</v>
      </c>
      <c r="E1" s="6" t="s">
        <v>24</v>
      </c>
      <c r="G1" s="6" t="s">
        <v>25</v>
      </c>
    </row>
    <row r="2">
      <c r="A2" s="13">
        <v>1.0</v>
      </c>
      <c r="B2" s="6">
        <v>2014.0</v>
      </c>
      <c r="C2" s="14">
        <f t="shared" ref="C2:C4" si="1">2023-B2</f>
        <v>9</v>
      </c>
      <c r="D2" s="6">
        <v>7.0</v>
      </c>
      <c r="E2" s="6">
        <v>823.0</v>
      </c>
      <c r="G2" s="14">
        <f t="shared" ref="G2:G4" si="2">0.84^C2</f>
        <v>0.2082157485</v>
      </c>
      <c r="K2" s="6">
        <v>5.9</v>
      </c>
    </row>
    <row r="3">
      <c r="A3" s="13">
        <v>2.0</v>
      </c>
      <c r="B3" s="6">
        <v>2014.0</v>
      </c>
      <c r="C3" s="14">
        <f t="shared" si="1"/>
        <v>9</v>
      </c>
      <c r="D3" s="6">
        <v>7.0</v>
      </c>
      <c r="E3" s="6">
        <v>823.0</v>
      </c>
      <c r="G3" s="14">
        <f t="shared" si="2"/>
        <v>0.2082157485</v>
      </c>
    </row>
    <row r="4">
      <c r="A4" s="13">
        <v>3.0</v>
      </c>
      <c r="B4" s="6">
        <v>2016.0</v>
      </c>
      <c r="C4" s="14">
        <f t="shared" si="1"/>
        <v>7</v>
      </c>
      <c r="D4" s="6">
        <v>3.0</v>
      </c>
      <c r="E4" s="6">
        <v>428.0</v>
      </c>
      <c r="G4" s="14">
        <f t="shared" si="2"/>
        <v>0.2950903466</v>
      </c>
    </row>
    <row r="12">
      <c r="A12" s="9" t="s">
        <v>28</v>
      </c>
    </row>
    <row r="13">
      <c r="A13" s="9" t="s">
        <v>29</v>
      </c>
    </row>
    <row r="14">
      <c r="A14" s="9" t="s">
        <v>30</v>
      </c>
    </row>
  </sheetData>
  <drawing r:id="rId1"/>
</worksheet>
</file>