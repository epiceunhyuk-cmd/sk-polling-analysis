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th Presedential Election" sheetId="1" r:id="rId4"/>
    <sheet state="visible" name="20th Presedential Election" sheetId="2" r:id="rId5"/>
    <sheet state="visible" name="조원씨앤아이" sheetId="3" r:id="rId6"/>
    <sheet state="visible" name="칸타코리아" sheetId="4" r:id="rId7"/>
    <sheet state="visible" name="리얼미터" sheetId="5" r:id="rId8"/>
    <sheet state="visible" name="한국리서치" sheetId="6" r:id="rId9"/>
    <sheet state="visible" name="리서치뷰" sheetId="7" r:id="rId10"/>
    <sheet state="visible" name="한국갤럽조사연구소" sheetId="8" r:id="rId11"/>
    <sheet state="visible" name="리서치앤리서치" sheetId="9" r:id="rId12"/>
    <sheet state="visible" name="PNR" sheetId="10" r:id="rId13"/>
    <sheet state="visible" name="에이스리서치" sheetId="11" r:id="rId14"/>
    <sheet state="visible" name="KSOI" sheetId="12" r:id="rId15"/>
    <sheet state="visible" name="22nd General Election" sheetId="13" r:id="rId16"/>
  </sheets>
  <definedNames/>
  <calcPr/>
</workbook>
</file>

<file path=xl/sharedStrings.xml><?xml version="1.0" encoding="utf-8"?>
<sst xmlns="http://schemas.openxmlformats.org/spreadsheetml/2006/main" count="608" uniqueCount="111">
  <si>
    <t>Poll number</t>
  </si>
  <si>
    <t>Pollster</t>
  </si>
  <si>
    <t>리얼미터</t>
  </si>
  <si>
    <t>한국리서치</t>
  </si>
  <si>
    <t>리서치뷰</t>
  </si>
  <si>
    <t>한국갤럽조사연구소</t>
  </si>
  <si>
    <t>리서치앤리서치</t>
  </si>
  <si>
    <t>에이스리서치</t>
  </si>
  <si>
    <t>KSOI</t>
  </si>
  <si>
    <t>PNR</t>
  </si>
  <si>
    <t>조원씨앤아이</t>
  </si>
  <si>
    <t>칸타코리아</t>
  </si>
  <si>
    <t>Median Field Date before Election</t>
  </si>
  <si>
    <t>Difference Predictions</t>
  </si>
  <si>
    <t>Raw Error</t>
  </si>
  <si>
    <t>Raw Bias</t>
  </si>
  <si>
    <t>Transparency 1</t>
  </si>
  <si>
    <t>Transparency 2</t>
  </si>
  <si>
    <t>Transparency 3</t>
  </si>
  <si>
    <t>Transparency 4</t>
  </si>
  <si>
    <t>Transparency 5</t>
  </si>
  <si>
    <t>Transparency 6</t>
  </si>
  <si>
    <t>Transparency 7</t>
  </si>
  <si>
    <t>Transparency 8</t>
  </si>
  <si>
    <t>Transparency 9</t>
  </si>
  <si>
    <t>Transparency 10</t>
  </si>
  <si>
    <t>Methodology</t>
  </si>
  <si>
    <t>80% ARS, 20% Phone Interview</t>
  </si>
  <si>
    <t>Phone Interview</t>
  </si>
  <si>
    <t>ARS</t>
  </si>
  <si>
    <t>_x0008_CATI</t>
  </si>
  <si>
    <t>80% ARS, 20%Phone Interview</t>
  </si>
  <si>
    <t>50% Phone Interview, 50% ARS</t>
  </si>
  <si>
    <t>CATI</t>
  </si>
  <si>
    <t>KORA Affiliation</t>
  </si>
  <si>
    <t>Sample size</t>
  </si>
  <si>
    <t>Confidence Interval</t>
  </si>
  <si>
    <t>95% +-2.5%</t>
  </si>
  <si>
    <t>95% +-3.1%</t>
  </si>
  <si>
    <t>95% +-2.6%</t>
  </si>
  <si>
    <t>95% +-2.1%</t>
  </si>
  <si>
    <t>95% +-1.8%</t>
  </si>
  <si>
    <t>95% +-3.0%</t>
  </si>
  <si>
    <t>95% +-2.9%</t>
  </si>
  <si>
    <t>95% +-2.2%</t>
  </si>
  <si>
    <t>Calculated Data</t>
  </si>
  <si>
    <t>Expected error</t>
  </si>
  <si>
    <t>Excess error</t>
  </si>
  <si>
    <t>Excess bias</t>
  </si>
  <si>
    <t>Weight</t>
  </si>
  <si>
    <t>Weighted error</t>
  </si>
  <si>
    <t>Average Excess Error</t>
  </si>
  <si>
    <t>Weighted bias</t>
  </si>
  <si>
    <t>Average Excess Bias</t>
  </si>
  <si>
    <t>서던포스트</t>
  </si>
  <si>
    <t>_x0008_여론조사 공정</t>
  </si>
  <si>
    <t>미디어토마토</t>
  </si>
  <si>
    <t>리얼리서치코리아</t>
  </si>
  <si>
    <t>아시아리서치앤컨설팅</t>
  </si>
  <si>
    <t>미디어리서치</t>
  </si>
  <si>
    <t>피플네트웍스</t>
  </si>
  <si>
    <t>글로벌 리서치</t>
  </si>
  <si>
    <t>원지코리아컨설팅</t>
  </si>
  <si>
    <t>엠브레인퍼블릭</t>
  </si>
  <si>
    <t>넥스트리서치</t>
  </si>
  <si>
    <t>한길리서치</t>
  </si>
  <si>
    <t>_x0008_서던포스트</t>
  </si>
  <si>
    <t>입소스</t>
  </si>
  <si>
    <t>코리아정보리서치 중부본부</t>
  </si>
  <si>
    <t>이너텍시스템즈</t>
  </si>
  <si>
    <t>글로벌리서치</t>
  </si>
  <si>
    <t>Median Field Date Before</t>
  </si>
  <si>
    <t>무선Phone Interview</t>
  </si>
  <si>
    <t>60% ARS, 40% person call</t>
  </si>
  <si>
    <t>_x0008_ARS</t>
  </si>
  <si>
    <t>70% ARS, 30% Phone Interview</t>
  </si>
  <si>
    <t>Phone Interview 17%, ARS 83%</t>
  </si>
  <si>
    <t>인터넷조사</t>
  </si>
  <si>
    <t>KORA 가입유무</t>
  </si>
  <si>
    <t>95%, +- 2.2%</t>
  </si>
  <si>
    <t>95%, +-3.1%</t>
  </si>
  <si>
    <t>95%, +-1.8%</t>
  </si>
  <si>
    <t>95%, +-2.6%</t>
  </si>
  <si>
    <t>95%, +-1.5%</t>
  </si>
  <si>
    <t>95%, +-2.2%</t>
  </si>
  <si>
    <t>95%, +-2.3%</t>
  </si>
  <si>
    <t>expected error</t>
  </si>
  <si>
    <t>excess error</t>
  </si>
  <si>
    <t>excess bias</t>
  </si>
  <si>
    <t>weight</t>
  </si>
  <si>
    <t>weighted error</t>
  </si>
  <si>
    <t>Average error</t>
  </si>
  <si>
    <t>Average bias</t>
  </si>
  <si>
    <t>weighted excess error</t>
  </si>
  <si>
    <t>Pollster excess error</t>
  </si>
  <si>
    <t>Relative excess error</t>
  </si>
  <si>
    <t>Adjusted Error</t>
  </si>
  <si>
    <t>Weighted adjusted error</t>
  </si>
  <si>
    <t>Relative excess bias</t>
  </si>
  <si>
    <t>Adjusted Bias</t>
  </si>
  <si>
    <t>weighted adjusted bias</t>
  </si>
  <si>
    <t>Pollster adjusted error</t>
  </si>
  <si>
    <t>Pollster adjusted bias</t>
  </si>
  <si>
    <t>POLLSCORE</t>
  </si>
  <si>
    <t>Weighted transparency</t>
  </si>
  <si>
    <t>Transparency Score</t>
  </si>
  <si>
    <t>Expected Error</t>
  </si>
  <si>
    <t>Transparency RAW</t>
  </si>
  <si>
    <t>Tranparency score</t>
  </si>
  <si>
    <t>Pollster name</t>
  </si>
  <si>
    <t>_x0008_리서치앤리서치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</si>
</sst>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color/>
      <name val="Arial"/>
    </font>
    <font>
      <color rgb="FF000000"/>
      <name val="Arial"/>
    </font>
    <font>
      <b/>
      <color/>
      <name val="Arial"/>
    </font>
    <font>
      <b/>
      <sz val="11.0"/>
      <color rgb="FF222222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E5F8"/>
        <bgColor rgb="FFD8E5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left" shrinkToFit="0" wrapText="1"/>
    </xf>
    <xf borderId="0" fillId="0" fontId="1" numFmtId="0" xfId="0" applyAlignment="1" applyFont="1">
      <alignment vertical="bottom"/>
    </xf>
    <xf borderId="0" fillId="0" fontId="1" numFmtId="10" xfId="0" applyFont="1" applyNumberFormat="1"/>
    <xf borderId="0" fillId="0" fontId="3" numFmtId="0" xfId="0" applyAlignment="1" applyFont="1">
      <alignment vertical="bottom"/>
    </xf>
    <xf borderId="0" fillId="0" fontId="1" numFmtId="2" xfId="0" applyFont="1" applyNumberFormat="1"/>
    <xf borderId="0" fillId="2" fontId="2" numFmtId="0" xfId="0" applyAlignment="1" applyFont="1">
      <alignment horizontal="left"/>
    </xf>
    <xf borderId="0" fillId="0" fontId="1" numFmtId="164" xfId="0" applyFont="1" applyNumberFormat="1"/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1" numFmtId="9" xfId="0" applyFont="1" applyNumberFormat="1"/>
    <xf borderId="0" fillId="0" fontId="1" numFmtId="10" xfId="0" applyAlignment="1" applyFont="1" applyNumberFormat="1">
      <alignment vertical="bottom"/>
    </xf>
    <xf borderId="0" fillId="3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28" width="12.57"/>
  </cols>
  <sheetData>
    <row r="1" ht="15.75" customHeight="1">
      <c r="A1" s="1" t="s">
        <v>0</v>
      </c>
      <c r="B1" s="1">
        <v>3700.0</v>
      </c>
      <c r="C1" s="1">
        <v>3702.0</v>
      </c>
      <c r="D1" s="1">
        <v>3703.0</v>
      </c>
      <c r="E1" s="1">
        <v>3704.0</v>
      </c>
      <c r="F1" s="1">
        <v>3708.0</v>
      </c>
      <c r="G1" s="1">
        <v>3709.0</v>
      </c>
      <c r="H1" s="1">
        <v>3710.0</v>
      </c>
      <c r="I1" s="1">
        <v>3712.0</v>
      </c>
      <c r="J1" s="1">
        <v>3714.0</v>
      </c>
      <c r="K1" s="1">
        <v>3715.0</v>
      </c>
      <c r="L1" s="1">
        <v>3716.0</v>
      </c>
      <c r="M1" s="1">
        <v>3718.0</v>
      </c>
      <c r="N1" s="1">
        <v>3723.0</v>
      </c>
      <c r="O1" s="1">
        <v>3725.0</v>
      </c>
      <c r="P1" s="1">
        <v>3727.0</v>
      </c>
      <c r="Q1" s="1">
        <v>3730.0</v>
      </c>
      <c r="R1" s="1">
        <v>3734.0</v>
      </c>
      <c r="S1" s="1">
        <v>3738.0</v>
      </c>
      <c r="T1" s="1">
        <v>3739.0</v>
      </c>
      <c r="U1" s="1">
        <v>3742.0</v>
      </c>
      <c r="V1" s="1">
        <v>3743.0</v>
      </c>
      <c r="W1" s="1">
        <v>3744.0</v>
      </c>
      <c r="X1" s="1">
        <v>3746.0</v>
      </c>
      <c r="Y1" s="1">
        <v>3747.0</v>
      </c>
      <c r="Z1" s="1">
        <v>3748.0</v>
      </c>
      <c r="AA1" s="1">
        <v>3750.0</v>
      </c>
      <c r="AB1" s="1">
        <v>3752.0</v>
      </c>
    </row>
    <row r="2" ht="15.75" customHeight="1">
      <c r="A2" s="1" t="s">
        <v>1</v>
      </c>
      <c r="B2" s="1" t="s">
        <v>2</v>
      </c>
      <c r="C2" s="1" t="s">
        <v>2</v>
      </c>
      <c r="D2" s="1" t="s">
        <v>3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</v>
      </c>
      <c r="J2" s="1" t="s">
        <v>7</v>
      </c>
      <c r="K2" s="1" t="s">
        <v>2</v>
      </c>
      <c r="L2" s="1" t="s">
        <v>8</v>
      </c>
      <c r="M2" s="1" t="s">
        <v>6</v>
      </c>
      <c r="N2" s="1" t="s">
        <v>3</v>
      </c>
      <c r="O2" s="1" t="s">
        <v>6</v>
      </c>
      <c r="P2" s="1" t="s">
        <v>5</v>
      </c>
      <c r="Q2" s="1" t="s">
        <v>9</v>
      </c>
      <c r="R2" s="1" t="s">
        <v>10</v>
      </c>
      <c r="S2" s="1" t="s">
        <v>2</v>
      </c>
      <c r="T2" s="1" t="s">
        <v>3</v>
      </c>
      <c r="U2" s="1" t="s">
        <v>5</v>
      </c>
      <c r="V2" s="1" t="s">
        <v>6</v>
      </c>
      <c r="W2" s="1" t="s">
        <v>6</v>
      </c>
      <c r="X2" s="1" t="s">
        <v>11</v>
      </c>
      <c r="Y2" s="1" t="s">
        <v>10</v>
      </c>
      <c r="Z2" s="1" t="s">
        <v>3</v>
      </c>
      <c r="AA2" s="1" t="s">
        <v>11</v>
      </c>
      <c r="AB2" s="1" t="s">
        <v>4</v>
      </c>
    </row>
    <row r="3" ht="15.75" customHeight="1">
      <c r="A3" s="1" t="s">
        <v>12</v>
      </c>
      <c r="B3" s="1">
        <v>14.0</v>
      </c>
      <c r="C3" s="1">
        <v>13.5</v>
      </c>
      <c r="D3" s="1">
        <v>14.0</v>
      </c>
      <c r="E3" s="1">
        <v>13.0</v>
      </c>
      <c r="F3" s="1">
        <v>13.0</v>
      </c>
      <c r="G3" s="1">
        <v>13.0</v>
      </c>
      <c r="H3" s="1">
        <v>13.0</v>
      </c>
      <c r="I3" s="1">
        <v>11.0</v>
      </c>
      <c r="J3" s="1">
        <v>10.0</v>
      </c>
      <c r="K3" s="1">
        <v>10.5</v>
      </c>
      <c r="L3" s="1">
        <v>10.5</v>
      </c>
      <c r="M3" s="1">
        <v>9.5</v>
      </c>
      <c r="N3" s="1">
        <v>9.5</v>
      </c>
      <c r="O3" s="1">
        <v>8.5</v>
      </c>
      <c r="P3" s="1">
        <v>8.5</v>
      </c>
      <c r="Q3" s="1">
        <v>8.0</v>
      </c>
      <c r="R3" s="1">
        <v>8.5</v>
      </c>
      <c r="S3" s="1">
        <v>7.5</v>
      </c>
      <c r="T3" s="1">
        <v>7.5</v>
      </c>
      <c r="U3" s="1">
        <v>7.5</v>
      </c>
      <c r="V3" s="1">
        <v>7.5</v>
      </c>
      <c r="W3" s="1">
        <v>7.5</v>
      </c>
      <c r="X3" s="1">
        <v>7.5</v>
      </c>
      <c r="Y3" s="1">
        <v>7.5</v>
      </c>
      <c r="Z3" s="1">
        <v>7.5</v>
      </c>
      <c r="AA3" s="1">
        <v>7.5</v>
      </c>
      <c r="AB3" s="1">
        <v>8.0</v>
      </c>
    </row>
    <row r="4" ht="15.75" customHeight="1">
      <c r="A4" s="1" t="s">
        <v>13</v>
      </c>
      <c r="B4" s="1">
        <v>31.4</v>
      </c>
      <c r="C4" s="1">
        <v>31.6</v>
      </c>
      <c r="D4" s="1">
        <v>28.8</v>
      </c>
      <c r="E4" s="1">
        <v>23.6</v>
      </c>
      <c r="F4" s="1">
        <v>30.2</v>
      </c>
      <c r="G4" s="1">
        <v>28.0</v>
      </c>
      <c r="H4" s="1">
        <v>29.9</v>
      </c>
      <c r="I4" s="1">
        <v>25.9</v>
      </c>
      <c r="J4" s="1">
        <v>20.3</v>
      </c>
      <c r="K4" s="1">
        <v>27.5</v>
      </c>
      <c r="L4" s="1">
        <v>25.7</v>
      </c>
      <c r="M4" s="1">
        <v>23.2</v>
      </c>
      <c r="N4" s="1">
        <v>24.3</v>
      </c>
      <c r="O4" s="1">
        <v>23.3</v>
      </c>
      <c r="P4" s="1">
        <v>22.8</v>
      </c>
      <c r="Q4" s="1">
        <v>29.0</v>
      </c>
      <c r="R4" s="1">
        <v>21.1</v>
      </c>
      <c r="S4" s="1">
        <v>23.8</v>
      </c>
      <c r="T4" s="1">
        <v>24.0</v>
      </c>
      <c r="U4" s="1">
        <v>22.0</v>
      </c>
      <c r="V4" s="1">
        <v>22.9</v>
      </c>
      <c r="W4" s="1">
        <v>22.5</v>
      </c>
      <c r="X4" s="1">
        <v>24.6</v>
      </c>
      <c r="Y4" s="1">
        <v>19.2</v>
      </c>
      <c r="Z4" s="1">
        <v>21.2</v>
      </c>
      <c r="AA4" s="1">
        <v>21.7</v>
      </c>
      <c r="AB4" s="1">
        <v>23.1</v>
      </c>
    </row>
    <row r="5" ht="15.75" customHeight="1">
      <c r="A5" s="1" t="s">
        <v>14</v>
      </c>
      <c r="B5" s="1" t="str">
        <f t="shared" ref="B5:AB5" si="1">ABS(17.1 - B4)</f>
        <v>14.3</v>
      </c>
      <c r="C5" s="1" t="str">
        <f t="shared" si="1"/>
        <v>14.5</v>
      </c>
      <c r="D5" s="1" t="str">
        <f t="shared" si="1"/>
        <v>11.7</v>
      </c>
      <c r="E5" s="1" t="str">
        <f t="shared" si="1"/>
        <v>6.5</v>
      </c>
      <c r="F5" s="1" t="str">
        <f t="shared" si="1"/>
        <v>13.1</v>
      </c>
      <c r="G5" s="1" t="str">
        <f t="shared" si="1"/>
        <v>10.9</v>
      </c>
      <c r="H5" s="1" t="str">
        <f t="shared" si="1"/>
        <v>12.8</v>
      </c>
      <c r="I5" s="1" t="str">
        <f t="shared" si="1"/>
        <v>8.8</v>
      </c>
      <c r="J5" s="1" t="str">
        <f t="shared" si="1"/>
        <v>3.2</v>
      </c>
      <c r="K5" s="1" t="str">
        <f t="shared" si="1"/>
        <v>10.4</v>
      </c>
      <c r="L5" s="1" t="str">
        <f t="shared" si="1"/>
        <v>8.6</v>
      </c>
      <c r="M5" s="1" t="str">
        <f t="shared" si="1"/>
        <v>6.1</v>
      </c>
      <c r="N5" s="1" t="str">
        <f t="shared" si="1"/>
        <v>7.2</v>
      </c>
      <c r="O5" s="1" t="str">
        <f t="shared" si="1"/>
        <v>6.2</v>
      </c>
      <c r="P5" s="1" t="str">
        <f t="shared" si="1"/>
        <v>5.7</v>
      </c>
      <c r="Q5" s="1" t="str">
        <f t="shared" si="1"/>
        <v>11.9</v>
      </c>
      <c r="R5" s="1" t="str">
        <f t="shared" si="1"/>
        <v>4</v>
      </c>
      <c r="S5" s="1" t="str">
        <f t="shared" si="1"/>
        <v>6.7</v>
      </c>
      <c r="T5" s="1" t="str">
        <f t="shared" si="1"/>
        <v>6.9</v>
      </c>
      <c r="U5" s="1" t="str">
        <f t="shared" si="1"/>
        <v>4.9</v>
      </c>
      <c r="V5" s="1" t="str">
        <f t="shared" si="1"/>
        <v>5.8</v>
      </c>
      <c r="W5" s="1" t="str">
        <f t="shared" si="1"/>
        <v>5.4</v>
      </c>
      <c r="X5" s="1" t="str">
        <f t="shared" si="1"/>
        <v>7.5</v>
      </c>
      <c r="Y5" s="1" t="str">
        <f t="shared" si="1"/>
        <v>2.1</v>
      </c>
      <c r="Z5" s="1" t="str">
        <f t="shared" si="1"/>
        <v>4.1</v>
      </c>
      <c r="AA5" s="1" t="str">
        <f t="shared" si="1"/>
        <v>4.6</v>
      </c>
      <c r="AB5" s="1" t="str">
        <f t="shared" si="1"/>
        <v>6</v>
      </c>
    </row>
    <row r="6" ht="15.75" customHeight="1">
      <c r="A6" s="1" t="s">
        <v>15</v>
      </c>
      <c r="B6" s="1" t="str">
        <f t="shared" ref="B6:AB6" si="2">B4 - 17.1</f>
        <v>14.3</v>
      </c>
      <c r="C6" s="1" t="str">
        <f t="shared" si="2"/>
        <v>14.5</v>
      </c>
      <c r="D6" s="1" t="str">
        <f t="shared" si="2"/>
        <v>11.7</v>
      </c>
      <c r="E6" s="1" t="str">
        <f t="shared" si="2"/>
        <v>6.5</v>
      </c>
      <c r="F6" s="1" t="str">
        <f t="shared" si="2"/>
        <v>13.1</v>
      </c>
      <c r="G6" s="1" t="str">
        <f t="shared" si="2"/>
        <v>10.9</v>
      </c>
      <c r="H6" s="1" t="str">
        <f t="shared" si="2"/>
        <v>12.8</v>
      </c>
      <c r="I6" s="1" t="str">
        <f t="shared" si="2"/>
        <v>8.8</v>
      </c>
      <c r="J6" s="1" t="str">
        <f t="shared" si="2"/>
        <v>3.2</v>
      </c>
      <c r="K6" s="1" t="str">
        <f t="shared" si="2"/>
        <v>10.4</v>
      </c>
      <c r="L6" s="1" t="str">
        <f t="shared" si="2"/>
        <v>8.6</v>
      </c>
      <c r="M6" s="1" t="str">
        <f t="shared" si="2"/>
        <v>6.1</v>
      </c>
      <c r="N6" s="1" t="str">
        <f t="shared" si="2"/>
        <v>7.2</v>
      </c>
      <c r="O6" s="1" t="str">
        <f t="shared" si="2"/>
        <v>6.2</v>
      </c>
      <c r="P6" s="1" t="str">
        <f t="shared" si="2"/>
        <v>5.7</v>
      </c>
      <c r="Q6" s="1" t="str">
        <f t="shared" si="2"/>
        <v>11.9</v>
      </c>
      <c r="R6" s="1" t="str">
        <f t="shared" si="2"/>
        <v>4</v>
      </c>
      <c r="S6" s="1" t="str">
        <f t="shared" si="2"/>
        <v>6.7</v>
      </c>
      <c r="T6" s="1" t="str">
        <f t="shared" si="2"/>
        <v>6.9</v>
      </c>
      <c r="U6" s="1" t="str">
        <f t="shared" si="2"/>
        <v>4.9</v>
      </c>
      <c r="V6" s="1" t="str">
        <f t="shared" si="2"/>
        <v>5.8</v>
      </c>
      <c r="W6" s="1" t="str">
        <f t="shared" si="2"/>
        <v>5.4</v>
      </c>
      <c r="X6" s="1" t="str">
        <f t="shared" si="2"/>
        <v>7.5</v>
      </c>
      <c r="Y6" s="1" t="str">
        <f t="shared" si="2"/>
        <v>2.1</v>
      </c>
      <c r="Z6" s="1" t="str">
        <f t="shared" si="2"/>
        <v>4.1</v>
      </c>
      <c r="AA6" s="1" t="str">
        <f t="shared" si="2"/>
        <v>4.6</v>
      </c>
      <c r="AB6" s="1" t="str">
        <f t="shared" si="2"/>
        <v>6</v>
      </c>
    </row>
    <row r="7" ht="15.75" customHeight="1">
      <c r="A7" s="1" t="s">
        <v>16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1.0</v>
      </c>
      <c r="T7" s="1">
        <v>1.0</v>
      </c>
      <c r="U7" s="1">
        <v>1.0</v>
      </c>
      <c r="V7" s="1">
        <v>1.0</v>
      </c>
      <c r="W7" s="1">
        <v>1.0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</row>
    <row r="8" ht="15.75" customHeight="1">
      <c r="A8" s="1" t="s">
        <v>17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</row>
    <row r="9" ht="15.75" customHeight="1">
      <c r="A9" s="1" t="s">
        <v>18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1.0</v>
      </c>
      <c r="T9" s="1">
        <v>1.0</v>
      </c>
      <c r="U9" s="1">
        <v>1.0</v>
      </c>
      <c r="V9" s="1">
        <v>1.0</v>
      </c>
      <c r="W9" s="1">
        <v>1.0</v>
      </c>
      <c r="X9" s="1">
        <v>1.0</v>
      </c>
      <c r="Y9" s="1">
        <v>1.0</v>
      </c>
      <c r="Z9" s="1">
        <v>1.0</v>
      </c>
      <c r="AA9" s="1">
        <v>1.0</v>
      </c>
      <c r="AB9" s="1">
        <v>1.0</v>
      </c>
    </row>
    <row r="10" ht="15.75" customHeight="1">
      <c r="A10" s="1" t="s">
        <v>19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1.0</v>
      </c>
      <c r="T10" s="1">
        <v>1.0</v>
      </c>
      <c r="U10" s="1">
        <v>1.0</v>
      </c>
      <c r="V10" s="1">
        <v>1.0</v>
      </c>
      <c r="W10" s="1">
        <v>1.0</v>
      </c>
      <c r="X10" s="1">
        <v>1.0</v>
      </c>
      <c r="Y10" s="1">
        <v>1.0</v>
      </c>
      <c r="Z10" s="1">
        <v>1.0</v>
      </c>
      <c r="AA10" s="1">
        <v>1.0</v>
      </c>
      <c r="AB10" s="1">
        <v>1.0</v>
      </c>
    </row>
    <row r="11" ht="15.75" customHeight="1">
      <c r="A11" s="1" t="s">
        <v>20</v>
      </c>
      <c r="B11" s="1">
        <v>1.0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  <c r="T11" s="1">
        <v>1.0</v>
      </c>
      <c r="U11" s="1">
        <v>1.0</v>
      </c>
      <c r="V11" s="1">
        <v>1.0</v>
      </c>
      <c r="W11" s="1">
        <v>1.0</v>
      </c>
      <c r="X11" s="1">
        <v>1.0</v>
      </c>
      <c r="Y11" s="1">
        <v>1.0</v>
      </c>
      <c r="Z11" s="1">
        <v>1.0</v>
      </c>
      <c r="AA11" s="1">
        <v>1.0</v>
      </c>
      <c r="AB11" s="1">
        <v>1.0</v>
      </c>
    </row>
    <row r="12" ht="15.75" customHeight="1">
      <c r="A12" s="1" t="s">
        <v>21</v>
      </c>
      <c r="B12" s="1">
        <v>1.0</v>
      </c>
      <c r="C12" s="1">
        <v>1.0</v>
      </c>
      <c r="D12" s="1">
        <v>1.0</v>
      </c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1.0</v>
      </c>
      <c r="T12" s="1">
        <v>1.0</v>
      </c>
      <c r="U12" s="1">
        <v>1.0</v>
      </c>
      <c r="V12" s="1">
        <v>1.0</v>
      </c>
      <c r="W12" s="1">
        <v>1.0</v>
      </c>
      <c r="X12" s="1">
        <v>1.0</v>
      </c>
      <c r="Y12" s="1">
        <v>1.0</v>
      </c>
      <c r="Z12" s="1">
        <v>1.0</v>
      </c>
      <c r="AA12" s="1">
        <v>1.0</v>
      </c>
      <c r="AB12" s="1">
        <v>1.0</v>
      </c>
    </row>
    <row r="13" ht="15.75" customHeight="1">
      <c r="A13" s="1" t="s">
        <v>22</v>
      </c>
      <c r="B13" s="1">
        <v>1.0</v>
      </c>
      <c r="C13" s="1">
        <v>1.0</v>
      </c>
      <c r="D13" s="1">
        <v>1.0</v>
      </c>
      <c r="E13" s="1">
        <v>1.0</v>
      </c>
      <c r="F13" s="1">
        <v>0.5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1.0</v>
      </c>
      <c r="P13" s="1">
        <v>0.5</v>
      </c>
      <c r="Q13" s="1">
        <v>1.0</v>
      </c>
      <c r="R13" s="1">
        <v>1.0</v>
      </c>
      <c r="S13" s="1">
        <v>1.0</v>
      </c>
      <c r="T13" s="1">
        <v>1.0</v>
      </c>
      <c r="U13" s="1">
        <v>1.0</v>
      </c>
      <c r="V13" s="1">
        <v>1.0</v>
      </c>
      <c r="W13" s="1">
        <v>1.0</v>
      </c>
      <c r="X13" s="1">
        <v>1.0</v>
      </c>
      <c r="Y13" s="1">
        <v>1.0</v>
      </c>
      <c r="Z13" s="1">
        <v>1.0</v>
      </c>
      <c r="AA13" s="1">
        <v>1.0</v>
      </c>
      <c r="AB13" s="1">
        <v>1.0</v>
      </c>
    </row>
    <row r="14" ht="15.75" customHeight="1">
      <c r="A14" s="1" t="s">
        <v>23</v>
      </c>
      <c r="B14" s="1">
        <v>1.0</v>
      </c>
      <c r="C14" s="1">
        <v>1.0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1.0</v>
      </c>
    </row>
    <row r="15" ht="15.75" customHeight="1">
      <c r="A15" s="1" t="s">
        <v>24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1.0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1.0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</row>
    <row r="16" ht="15.75" customHeight="1">
      <c r="A16" s="1" t="s">
        <v>25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0.5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1.0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</row>
    <row r="17" ht="15.75" customHeight="1">
      <c r="A17" s="2" t="s">
        <v>26</v>
      </c>
      <c r="B17" s="2" t="s">
        <v>27</v>
      </c>
      <c r="C17" s="2" t="s">
        <v>27</v>
      </c>
      <c r="D17" s="3" t="s">
        <v>28</v>
      </c>
      <c r="E17" s="3" t="s">
        <v>28</v>
      </c>
      <c r="F17" s="2" t="s">
        <v>29</v>
      </c>
      <c r="G17" s="2" t="s">
        <v>28</v>
      </c>
      <c r="H17" s="2" t="s">
        <v>30</v>
      </c>
      <c r="I17" s="2" t="s">
        <v>31</v>
      </c>
      <c r="J17" s="2" t="s">
        <v>29</v>
      </c>
      <c r="K17" s="2" t="s">
        <v>32</v>
      </c>
      <c r="L17" s="3" t="s">
        <v>30</v>
      </c>
      <c r="M17" s="2" t="s">
        <v>33</v>
      </c>
      <c r="N17" s="3" t="s">
        <v>28</v>
      </c>
      <c r="O17" s="3" t="s">
        <v>33</v>
      </c>
      <c r="P17" s="3" t="s">
        <v>33</v>
      </c>
      <c r="Q17" s="2" t="s">
        <v>29</v>
      </c>
      <c r="R17" s="2" t="s">
        <v>29</v>
      </c>
      <c r="S17" s="2" t="s">
        <v>32</v>
      </c>
      <c r="T17" s="3" t="s">
        <v>28</v>
      </c>
      <c r="U17" s="3" t="s">
        <v>28</v>
      </c>
      <c r="V17" s="2" t="s">
        <v>33</v>
      </c>
      <c r="W17" s="2" t="s">
        <v>33</v>
      </c>
      <c r="X17" s="3" t="s">
        <v>28</v>
      </c>
      <c r="Y17" s="3" t="s">
        <v>28</v>
      </c>
      <c r="Z17" s="3" t="s">
        <v>28</v>
      </c>
      <c r="AA17" s="3" t="s">
        <v>28</v>
      </c>
      <c r="AB17" s="2" t="s">
        <v>29</v>
      </c>
    </row>
    <row r="18" ht="15.75" customHeight="1">
      <c r="A18" s="1" t="s">
        <v>34</v>
      </c>
      <c r="B18" s="1">
        <v>0.0</v>
      </c>
      <c r="C18" s="1">
        <v>0.0</v>
      </c>
      <c r="D18" s="1">
        <v>3.0</v>
      </c>
      <c r="E18" s="1">
        <v>3.0</v>
      </c>
      <c r="F18" s="1">
        <v>0.0</v>
      </c>
      <c r="G18" s="1">
        <v>3.0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3.0</v>
      </c>
      <c r="O18" s="1">
        <v>0.0</v>
      </c>
      <c r="P18" s="1">
        <v>3.0</v>
      </c>
      <c r="Q18" s="1">
        <v>0.0</v>
      </c>
      <c r="R18" s="1">
        <v>0.0</v>
      </c>
      <c r="S18" s="1">
        <v>0.0</v>
      </c>
      <c r="T18" s="1">
        <v>3.0</v>
      </c>
      <c r="U18" s="1">
        <v>3.0</v>
      </c>
      <c r="V18" s="1">
        <v>0.0</v>
      </c>
      <c r="W18" s="1">
        <v>0.0</v>
      </c>
      <c r="X18" s="1">
        <v>3.0</v>
      </c>
      <c r="Y18" s="1">
        <v>0.0</v>
      </c>
      <c r="Z18" s="1">
        <v>3.0</v>
      </c>
      <c r="AA18" s="1">
        <v>3.0</v>
      </c>
      <c r="AB18" s="1">
        <v>0.0</v>
      </c>
    </row>
    <row r="19" ht="15.75" customHeight="1">
      <c r="A19" s="1" t="s">
        <v>35</v>
      </c>
      <c r="B19" s="1">
        <v>1520.0</v>
      </c>
      <c r="C19" s="1">
        <v>1015.0</v>
      </c>
      <c r="D19" s="1">
        <v>1000.0</v>
      </c>
      <c r="E19" s="1">
        <v>1000.0</v>
      </c>
      <c r="F19" s="1">
        <v>1418.0</v>
      </c>
      <c r="G19" s="1">
        <v>1006.0</v>
      </c>
      <c r="H19" s="1">
        <v>1007.0</v>
      </c>
      <c r="I19" s="1">
        <v>1523.0</v>
      </c>
      <c r="J19" s="1">
        <v>1023.0</v>
      </c>
      <c r="K19" s="1">
        <v>2239.0</v>
      </c>
      <c r="L19" s="1">
        <v>1010.0</v>
      </c>
      <c r="M19" s="1">
        <v>1004.0</v>
      </c>
      <c r="N19" s="1">
        <v>1000.0</v>
      </c>
      <c r="O19" s="1">
        <v>1027.0</v>
      </c>
      <c r="P19" s="1">
        <v>3077.0</v>
      </c>
      <c r="Q19" s="1">
        <v>1002.0</v>
      </c>
      <c r="R19" s="1">
        <v>1046.0</v>
      </c>
      <c r="S19" s="1">
        <v>1016.0</v>
      </c>
      <c r="T19" s="1">
        <v>1000.0</v>
      </c>
      <c r="U19" s="1">
        <v>1015.0</v>
      </c>
      <c r="V19" s="1">
        <v>1507.0</v>
      </c>
      <c r="W19" s="1">
        <v>1058.0</v>
      </c>
      <c r="X19" s="1">
        <v>1023.0</v>
      </c>
      <c r="Y19" s="1">
        <v>1035.0</v>
      </c>
      <c r="Z19" s="1">
        <v>1000.0</v>
      </c>
      <c r="AA19" s="1">
        <v>1147.0</v>
      </c>
      <c r="AB19" s="1">
        <v>2053.0</v>
      </c>
    </row>
    <row r="20" ht="15.75" customHeight="1">
      <c r="A20" s="1" t="s">
        <v>36</v>
      </c>
      <c r="B20" s="1" t="s">
        <v>37</v>
      </c>
      <c r="C20" s="1" t="s">
        <v>38</v>
      </c>
      <c r="D20" s="1" t="s">
        <v>38</v>
      </c>
      <c r="E20" s="1" t="s">
        <v>38</v>
      </c>
      <c r="F20" s="1" t="s">
        <v>39</v>
      </c>
      <c r="G20" s="1" t="s">
        <v>38</v>
      </c>
      <c r="H20" s="1" t="s">
        <v>38</v>
      </c>
      <c r="I20" s="1" t="s">
        <v>37</v>
      </c>
      <c r="J20" s="1" t="s">
        <v>38</v>
      </c>
      <c r="K20" s="1" t="s">
        <v>40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41</v>
      </c>
      <c r="Q20" s="1" t="s">
        <v>38</v>
      </c>
      <c r="R20" s="1" t="s">
        <v>42</v>
      </c>
      <c r="S20" s="1" t="s">
        <v>38</v>
      </c>
      <c r="T20" s="1" t="s">
        <v>38</v>
      </c>
      <c r="U20" s="1" t="s">
        <v>38</v>
      </c>
      <c r="V20" s="1" t="s">
        <v>37</v>
      </c>
      <c r="W20" s="1" t="s">
        <v>38</v>
      </c>
      <c r="X20" s="1" t="s">
        <v>38</v>
      </c>
      <c r="Y20" s="1" t="s">
        <v>42</v>
      </c>
      <c r="Z20" s="1" t="s">
        <v>38</v>
      </c>
      <c r="AA20" s="1" t="s">
        <v>43</v>
      </c>
      <c r="AB20" s="1" t="s">
        <v>44</v>
      </c>
    </row>
    <row r="21" ht="15.75" customHeight="1">
      <c r="A21" s="4"/>
      <c r="B21" s="5"/>
    </row>
    <row r="22" ht="15.75" customHeight="1">
      <c r="B22" s="5"/>
    </row>
    <row r="23" ht="15.75" customHeight="1">
      <c r="A23" s="6" t="s">
        <v>45</v>
      </c>
      <c r="B23" s="5"/>
    </row>
    <row r="24" ht="15.75" customHeight="1">
      <c r="A24" s="4" t="s">
        <v>46</v>
      </c>
      <c r="B24" s="1" t="str">
        <f t="shared" ref="B24:AB24" si="3">0.2*SQRT(B3) + 134.6 / SQRT(B19)</f>
        <v>4.200748632</v>
      </c>
      <c r="C24" s="1" t="str">
        <f t="shared" si="3"/>
        <v>4.959704165</v>
      </c>
      <c r="D24" s="1" t="str">
        <f t="shared" si="3"/>
        <v>5.004757208</v>
      </c>
      <c r="E24" s="1" t="str">
        <f t="shared" si="3"/>
        <v>4.977535986</v>
      </c>
      <c r="F24" s="1" t="str">
        <f t="shared" si="3"/>
        <v>4.295541473</v>
      </c>
      <c r="G24" s="1" t="str">
        <f t="shared" si="3"/>
        <v>4.964823884</v>
      </c>
      <c r="H24" s="1" t="str">
        <f t="shared" si="3"/>
        <v>4.962716254</v>
      </c>
      <c r="I24" s="1" t="str">
        <f t="shared" si="3"/>
        <v>4.112340157</v>
      </c>
      <c r="J24" s="1" t="str">
        <f t="shared" si="3"/>
        <v>4.840760871</v>
      </c>
      <c r="K24" s="1" t="str">
        <f t="shared" si="3"/>
        <v>3.492653159</v>
      </c>
      <c r="L24" s="1" t="str">
        <f t="shared" si="3"/>
        <v>4.883375969</v>
      </c>
      <c r="M24" s="1" t="str">
        <f t="shared" si="3"/>
        <v>4.864379733</v>
      </c>
      <c r="N24" s="1" t="str">
        <f t="shared" si="3"/>
        <v>4.872867131</v>
      </c>
      <c r="O24" s="1" t="str">
        <f t="shared" si="3"/>
        <v>4.783197196</v>
      </c>
      <c r="P24" s="1" t="str">
        <f t="shared" si="3"/>
        <v>3.009600867</v>
      </c>
      <c r="Q24" s="1" t="str">
        <f t="shared" si="3"/>
        <v>4.817861104</v>
      </c>
      <c r="R24" s="1" t="str">
        <f t="shared" si="3"/>
        <v>4.744876136</v>
      </c>
      <c r="S24" s="1" t="str">
        <f t="shared" si="3"/>
        <v>4.770500126</v>
      </c>
      <c r="T24" s="1" t="str">
        <f t="shared" si="3"/>
        <v>4.804148288</v>
      </c>
      <c r="U24" s="1" t="str">
        <f t="shared" si="3"/>
        <v>4.7725798</v>
      </c>
      <c r="V24" s="1" t="str">
        <f t="shared" si="3"/>
        <v>4.014998719</v>
      </c>
      <c r="W24" s="1" t="str">
        <f t="shared" si="3"/>
        <v>4.685834416</v>
      </c>
      <c r="X24" s="1" t="str">
        <f t="shared" si="3"/>
        <v>4.756027896</v>
      </c>
      <c r="Y24" s="1" t="str">
        <f t="shared" si="3"/>
        <v>4.731560797</v>
      </c>
      <c r="Z24" s="1" t="str">
        <f t="shared" si="3"/>
        <v>4.804148288</v>
      </c>
      <c r="AA24" s="1" t="str">
        <f t="shared" si="3"/>
        <v>4.522047304</v>
      </c>
      <c r="AB24" s="1" t="str">
        <f t="shared" si="3"/>
        <v>3.53632926</v>
      </c>
    </row>
    <row r="25" ht="15.75" customHeight="1">
      <c r="A25" s="4" t="s">
        <v>47</v>
      </c>
      <c r="B25" s="4" t="str">
        <f t="shared" ref="B25:AB25" si="4">B5-B24</f>
        <v>10.09925137</v>
      </c>
      <c r="C25" s="4" t="str">
        <f t="shared" si="4"/>
        <v>9.540295835</v>
      </c>
      <c r="D25" s="4" t="str">
        <f t="shared" si="4"/>
        <v>6.695242792</v>
      </c>
      <c r="E25" s="4" t="str">
        <f t="shared" si="4"/>
        <v>1.522464014</v>
      </c>
      <c r="F25" s="4" t="str">
        <f t="shared" si="4"/>
        <v>8.804458527</v>
      </c>
      <c r="G25" s="4" t="str">
        <f t="shared" si="4"/>
        <v>5.935176116</v>
      </c>
      <c r="H25" s="4" t="str">
        <f t="shared" si="4"/>
        <v>7.837283746</v>
      </c>
      <c r="I25" s="4" t="str">
        <f t="shared" si="4"/>
        <v>4.687659843</v>
      </c>
      <c r="J25" s="4" t="str">
        <f t="shared" si="4"/>
        <v>-1.640760871</v>
      </c>
      <c r="K25" s="4" t="str">
        <f t="shared" si="4"/>
        <v>6.907346841</v>
      </c>
      <c r="L25" s="4" t="str">
        <f t="shared" si="4"/>
        <v>3.716624031</v>
      </c>
      <c r="M25" s="4" t="str">
        <f t="shared" si="4"/>
        <v>1.235620267</v>
      </c>
      <c r="N25" s="4" t="str">
        <f t="shared" si="4"/>
        <v>2.327132869</v>
      </c>
      <c r="O25" s="4" t="str">
        <f t="shared" si="4"/>
        <v>1.416802804</v>
      </c>
      <c r="P25" s="4" t="str">
        <f t="shared" si="4"/>
        <v>2.690399133</v>
      </c>
      <c r="Q25" s="4" t="str">
        <f t="shared" si="4"/>
        <v>7.082138896</v>
      </c>
      <c r="R25" s="4" t="str">
        <f t="shared" si="4"/>
        <v>-0.7448761364</v>
      </c>
      <c r="S25" s="4" t="str">
        <f t="shared" si="4"/>
        <v>1.929499874</v>
      </c>
      <c r="T25" s="4" t="str">
        <f t="shared" si="4"/>
        <v>2.095851712</v>
      </c>
      <c r="U25" s="4" t="str">
        <f t="shared" si="4"/>
        <v>0.1274202</v>
      </c>
      <c r="V25" s="4" t="str">
        <f t="shared" si="4"/>
        <v>1.785001281</v>
      </c>
      <c r="W25" s="4" t="str">
        <f t="shared" si="4"/>
        <v>0.7141655839</v>
      </c>
      <c r="X25" s="4" t="str">
        <f t="shared" si="4"/>
        <v>2.743972104</v>
      </c>
      <c r="Y25" s="4" t="str">
        <f t="shared" si="4"/>
        <v>-2.631560797</v>
      </c>
      <c r="Z25" s="4" t="str">
        <f t="shared" si="4"/>
        <v>-0.7041482881</v>
      </c>
      <c r="AA25" s="4" t="str">
        <f t="shared" si="4"/>
        <v>0.07795269574</v>
      </c>
      <c r="AB25" s="4" t="str">
        <f t="shared" si="4"/>
        <v>2.46367074</v>
      </c>
    </row>
    <row r="26" ht="15.75" customHeight="1">
      <c r="A26" s="4" t="s">
        <v>48</v>
      </c>
      <c r="B26" s="4" t="str">
        <f t="shared" ref="B26:AB26" si="5">B6</f>
        <v>14.3</v>
      </c>
      <c r="C26" s="4" t="str">
        <f t="shared" si="5"/>
        <v>14.5</v>
      </c>
      <c r="D26" s="4" t="str">
        <f t="shared" si="5"/>
        <v>11.7</v>
      </c>
      <c r="E26" s="4" t="str">
        <f t="shared" si="5"/>
        <v>6.5</v>
      </c>
      <c r="F26" s="4" t="str">
        <f t="shared" si="5"/>
        <v>13.1</v>
      </c>
      <c r="G26" s="4" t="str">
        <f t="shared" si="5"/>
        <v>10.9</v>
      </c>
      <c r="H26" s="4" t="str">
        <f t="shared" si="5"/>
        <v>12.8</v>
      </c>
      <c r="I26" s="4" t="str">
        <f t="shared" si="5"/>
        <v>8.8</v>
      </c>
      <c r="J26" s="4" t="str">
        <f t="shared" si="5"/>
        <v>3.2</v>
      </c>
      <c r="K26" s="4" t="str">
        <f t="shared" si="5"/>
        <v>10.4</v>
      </c>
      <c r="L26" s="4" t="str">
        <f t="shared" si="5"/>
        <v>8.6</v>
      </c>
      <c r="M26" s="4" t="str">
        <f t="shared" si="5"/>
        <v>6.1</v>
      </c>
      <c r="N26" s="4" t="str">
        <f t="shared" si="5"/>
        <v>7.2</v>
      </c>
      <c r="O26" s="4" t="str">
        <f t="shared" si="5"/>
        <v>6.2</v>
      </c>
      <c r="P26" s="4" t="str">
        <f t="shared" si="5"/>
        <v>5.7</v>
      </c>
      <c r="Q26" s="4" t="str">
        <f t="shared" si="5"/>
        <v>11.9</v>
      </c>
      <c r="R26" s="4" t="str">
        <f t="shared" si="5"/>
        <v>4</v>
      </c>
      <c r="S26" s="4" t="str">
        <f t="shared" si="5"/>
        <v>6.7</v>
      </c>
      <c r="T26" s="4" t="str">
        <f t="shared" si="5"/>
        <v>6.9</v>
      </c>
      <c r="U26" s="4" t="str">
        <f t="shared" si="5"/>
        <v>4.9</v>
      </c>
      <c r="V26" s="4" t="str">
        <f t="shared" si="5"/>
        <v>5.8</v>
      </c>
      <c r="W26" s="4" t="str">
        <f t="shared" si="5"/>
        <v>5.4</v>
      </c>
      <c r="X26" s="4" t="str">
        <f t="shared" si="5"/>
        <v>7.5</v>
      </c>
      <c r="Y26" s="4" t="str">
        <f t="shared" si="5"/>
        <v>2.1</v>
      </c>
      <c r="Z26" s="4" t="str">
        <f t="shared" si="5"/>
        <v>4.1</v>
      </c>
      <c r="AA26" s="4" t="str">
        <f t="shared" si="5"/>
        <v>4.6</v>
      </c>
      <c r="AB26" s="4" t="str">
        <f t="shared" si="5"/>
        <v>6</v>
      </c>
    </row>
    <row r="27" ht="15.75" customHeight="1">
      <c r="A27" s="1" t="s">
        <v>49</v>
      </c>
      <c r="B27" s="1" t="str">
        <f t="shared" ref="B27:AB27" si="6">SQRT(B19)</f>
        <v>38.98717738</v>
      </c>
      <c r="C27" s="1" t="str">
        <f t="shared" si="6"/>
        <v>31.85906464</v>
      </c>
      <c r="D27" s="1" t="str">
        <f t="shared" si="6"/>
        <v>31.6227766</v>
      </c>
      <c r="E27" s="1" t="str">
        <f t="shared" si="6"/>
        <v>31.6227766</v>
      </c>
      <c r="F27" s="1" t="str">
        <f t="shared" si="6"/>
        <v>37.65634077</v>
      </c>
      <c r="G27" s="1" t="str">
        <f t="shared" si="6"/>
        <v>31.71750305</v>
      </c>
      <c r="H27" s="1" t="str">
        <f t="shared" si="6"/>
        <v>31.73326331</v>
      </c>
      <c r="I27" s="1" t="str">
        <f t="shared" si="6"/>
        <v>39.0256326</v>
      </c>
      <c r="J27" s="1" t="str">
        <f t="shared" si="6"/>
        <v>31.98437118</v>
      </c>
      <c r="K27" s="1" t="str">
        <f t="shared" si="6"/>
        <v>47.31807266</v>
      </c>
      <c r="L27" s="1" t="str">
        <f t="shared" si="6"/>
        <v>31.78049716</v>
      </c>
      <c r="M27" s="1" t="str">
        <f t="shared" si="6"/>
        <v>31.68595904</v>
      </c>
      <c r="N27" s="1" t="str">
        <f t="shared" si="6"/>
        <v>31.6227766</v>
      </c>
      <c r="O27" s="1" t="str">
        <f t="shared" si="6"/>
        <v>32.04684072</v>
      </c>
      <c r="P27" s="1" t="str">
        <f t="shared" si="6"/>
        <v>55.47071299</v>
      </c>
      <c r="Q27" s="1" t="str">
        <f t="shared" si="6"/>
        <v>31.65438358</v>
      </c>
      <c r="R27" s="1" t="str">
        <f t="shared" si="6"/>
        <v>32.34192326</v>
      </c>
      <c r="S27" s="1" t="str">
        <f t="shared" si="6"/>
        <v>31.8747549</v>
      </c>
      <c r="T27" s="1" t="str">
        <f t="shared" si="6"/>
        <v>31.6227766</v>
      </c>
      <c r="U27" s="1" t="str">
        <f t="shared" si="6"/>
        <v>31.85906464</v>
      </c>
      <c r="V27" s="1" t="str">
        <f t="shared" si="6"/>
        <v>38.82009789</v>
      </c>
      <c r="W27" s="1" t="str">
        <f t="shared" si="6"/>
        <v>32.52691193</v>
      </c>
      <c r="X27" s="1" t="str">
        <f t="shared" si="6"/>
        <v>31.98437118</v>
      </c>
      <c r="Y27" s="1" t="str">
        <f t="shared" si="6"/>
        <v>32.17141588</v>
      </c>
      <c r="Z27" s="1" t="str">
        <f t="shared" si="6"/>
        <v>31.6227766</v>
      </c>
      <c r="AA27" s="1" t="str">
        <f t="shared" si="6"/>
        <v>33.86738844</v>
      </c>
      <c r="AB27" s="1" t="str">
        <f t="shared" si="6"/>
        <v>45.31004304</v>
      </c>
    </row>
    <row r="28" ht="15.75" customHeight="1">
      <c r="A28" s="1" t="s">
        <v>50</v>
      </c>
      <c r="B28" s="1" t="str">
        <f t="shared" ref="B28:AB28" si="7">B25*B27</f>
        <v>393.7413045</v>
      </c>
      <c r="C28" s="1" t="str">
        <f t="shared" si="7"/>
        <v>303.9449017</v>
      </c>
      <c r="D28" s="1" t="str">
        <f t="shared" si="7"/>
        <v>211.7221671</v>
      </c>
      <c r="E28" s="1" t="str">
        <f t="shared" si="7"/>
        <v>48.14453941</v>
      </c>
      <c r="F28" s="1" t="str">
        <f t="shared" si="7"/>
        <v>331.5436906</v>
      </c>
      <c r="G28" s="1" t="str">
        <f t="shared" si="7"/>
        <v>188.2489666</v>
      </c>
      <c r="H28" s="1" t="str">
        <f t="shared" si="7"/>
        <v>248.7025887</v>
      </c>
      <c r="I28" s="1" t="str">
        <f t="shared" si="7"/>
        <v>182.9388908</v>
      </c>
      <c r="J28" s="1" t="str">
        <f t="shared" si="7"/>
        <v>-52.47870471</v>
      </c>
      <c r="K28" s="1" t="str">
        <f t="shared" si="7"/>
        <v>326.8423397</v>
      </c>
      <c r="L28" s="1" t="str">
        <f t="shared" si="7"/>
        <v>118.1161595</v>
      </c>
      <c r="M28" s="1" t="str">
        <f t="shared" si="7"/>
        <v>39.15181316</v>
      </c>
      <c r="N28" s="1" t="str">
        <f t="shared" si="7"/>
        <v>73.59040284</v>
      </c>
      <c r="O28" s="1" t="str">
        <f t="shared" si="7"/>
        <v>45.40405379</v>
      </c>
      <c r="P28" s="1" t="str">
        <f t="shared" si="7"/>
        <v>149.2383582</v>
      </c>
      <c r="Q28" s="1" t="str">
        <f t="shared" si="7"/>
        <v>224.1807412</v>
      </c>
      <c r="R28" s="1" t="str">
        <f t="shared" si="7"/>
        <v>-24.09072684</v>
      </c>
      <c r="S28" s="1" t="str">
        <f t="shared" si="7"/>
        <v>61.50233556</v>
      </c>
      <c r="T28" s="1" t="str">
        <f t="shared" si="7"/>
        <v>66.27665048</v>
      </c>
      <c r="U28" s="1" t="str">
        <f t="shared" si="7"/>
        <v>4.05948839</v>
      </c>
      <c r="V28" s="1" t="str">
        <f t="shared" si="7"/>
        <v>69.29392445</v>
      </c>
      <c r="W28" s="1" t="str">
        <f t="shared" si="7"/>
        <v>23.22960105</v>
      </c>
      <c r="X28" s="1" t="str">
        <f t="shared" si="7"/>
        <v>87.76422229</v>
      </c>
      <c r="Y28" s="1" t="str">
        <f t="shared" si="7"/>
        <v>-84.66103683</v>
      </c>
      <c r="Z28" s="1" t="str">
        <f t="shared" si="7"/>
        <v>-22.26712401</v>
      </c>
      <c r="AA28" s="1" t="str">
        <f t="shared" si="7"/>
        <v>2.640054227</v>
      </c>
      <c r="AB28" s="1" t="str">
        <f t="shared" si="7"/>
        <v>111.6290273</v>
      </c>
    </row>
    <row r="29" ht="15.75" customHeight="1">
      <c r="A29" s="1" t="s">
        <v>51</v>
      </c>
      <c r="B29" s="7" t="str">
        <f>SUM(B28:AB28)/SUM(B27:AA27)</f>
        <v>3.49</v>
      </c>
    </row>
    <row r="30" ht="15.75" customHeight="1">
      <c r="A30" s="1" t="s">
        <v>52</v>
      </c>
      <c r="B30" s="1" t="str">
        <f t="shared" ref="B30:AB30" si="8">B26*B27</f>
        <v>557.5166365</v>
      </c>
      <c r="C30" s="1" t="str">
        <f t="shared" si="8"/>
        <v>461.9564373</v>
      </c>
      <c r="D30" s="1" t="str">
        <f t="shared" si="8"/>
        <v>369.9864862</v>
      </c>
      <c r="E30" s="1" t="str">
        <f t="shared" si="8"/>
        <v>205.5480479</v>
      </c>
      <c r="F30" s="1" t="str">
        <f t="shared" si="8"/>
        <v>493.2980641</v>
      </c>
      <c r="G30" s="1" t="str">
        <f t="shared" si="8"/>
        <v>345.7207833</v>
      </c>
      <c r="H30" s="1" t="str">
        <f t="shared" si="8"/>
        <v>406.1857703</v>
      </c>
      <c r="I30" s="1" t="str">
        <f t="shared" si="8"/>
        <v>343.4255669</v>
      </c>
      <c r="J30" s="1" t="str">
        <f t="shared" si="8"/>
        <v>102.3499878</v>
      </c>
      <c r="K30" s="1" t="str">
        <f t="shared" si="8"/>
        <v>492.1079556</v>
      </c>
      <c r="L30" s="1" t="str">
        <f t="shared" si="8"/>
        <v>273.3122756</v>
      </c>
      <c r="M30" s="1" t="str">
        <f t="shared" si="8"/>
        <v>193.2843501</v>
      </c>
      <c r="N30" s="1" t="str">
        <f t="shared" si="8"/>
        <v>227.6839915</v>
      </c>
      <c r="O30" s="1" t="str">
        <f t="shared" si="8"/>
        <v>198.6904125</v>
      </c>
      <c r="P30" s="1" t="str">
        <f t="shared" si="8"/>
        <v>316.1830641</v>
      </c>
      <c r="Q30" s="1" t="str">
        <f t="shared" si="8"/>
        <v>376.6871646</v>
      </c>
      <c r="R30" s="1" t="str">
        <f t="shared" si="8"/>
        <v>129.367693</v>
      </c>
      <c r="S30" s="1" t="str">
        <f t="shared" si="8"/>
        <v>213.5608578</v>
      </c>
      <c r="T30" s="1" t="str">
        <f t="shared" si="8"/>
        <v>218.1971586</v>
      </c>
      <c r="U30" s="1" t="str">
        <f t="shared" si="8"/>
        <v>156.1094168</v>
      </c>
      <c r="V30" s="1" t="str">
        <f t="shared" si="8"/>
        <v>225.1565677</v>
      </c>
      <c r="W30" s="1" t="str">
        <f t="shared" si="8"/>
        <v>175.6453244</v>
      </c>
      <c r="X30" s="1" t="str">
        <f t="shared" si="8"/>
        <v>239.8827839</v>
      </c>
      <c r="Y30" s="1" t="str">
        <f t="shared" si="8"/>
        <v>67.55997336</v>
      </c>
      <c r="Z30" s="1" t="str">
        <f t="shared" si="8"/>
        <v>129.6533841</v>
      </c>
      <c r="AA30" s="1" t="str">
        <f t="shared" si="8"/>
        <v>155.7899868</v>
      </c>
      <c r="AB30" s="1" t="str">
        <f t="shared" si="8"/>
        <v>271.8602582</v>
      </c>
    </row>
    <row r="31" ht="15.75" customHeight="1">
      <c r="A31" s="1" t="s">
        <v>53</v>
      </c>
      <c r="B31" s="7" t="str">
        <f>SUM(B30:AB30)/SUM(B27:AB27)</f>
        <v>7.80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0"/>
    <col customWidth="1" min="2" max="49" width="12.57"/>
  </cols>
  <sheetData>
    <row r="1" ht="15.75" customHeight="1">
      <c r="A1" s="1" t="s">
        <v>0</v>
      </c>
      <c r="B1" s="1"/>
      <c r="C1" s="1"/>
      <c r="D1" s="1"/>
      <c r="E1" s="1"/>
      <c r="F1" s="1">
        <v>9054.0</v>
      </c>
      <c r="G1" s="1">
        <v>9055.0</v>
      </c>
      <c r="H1" s="1">
        <v>9056.0</v>
      </c>
      <c r="I1" s="1">
        <v>9060.0</v>
      </c>
      <c r="J1" s="1">
        <v>9065.0</v>
      </c>
      <c r="K1" s="1">
        <v>9067.0</v>
      </c>
      <c r="L1" s="1">
        <v>9068.0</v>
      </c>
      <c r="M1" s="1">
        <v>9071.0</v>
      </c>
      <c r="N1" s="1">
        <v>9072.0</v>
      </c>
      <c r="O1" s="1">
        <v>9074.0</v>
      </c>
      <c r="P1" s="1">
        <v>9076.0</v>
      </c>
      <c r="Q1" s="1">
        <v>9079.0</v>
      </c>
      <c r="R1" s="1">
        <v>9083.0</v>
      </c>
      <c r="S1" s="1">
        <v>9086.0</v>
      </c>
      <c r="T1" s="1">
        <v>9088.0</v>
      </c>
      <c r="U1" s="1">
        <v>9089.0</v>
      </c>
      <c r="V1" s="1">
        <v>9090.0</v>
      </c>
      <c r="W1" s="1">
        <v>9093.0</v>
      </c>
      <c r="X1" s="1">
        <v>9095.0</v>
      </c>
      <c r="Y1" s="1">
        <v>9098.0</v>
      </c>
      <c r="Z1" s="1">
        <v>9100.0</v>
      </c>
      <c r="AA1" s="1">
        <v>9101.0</v>
      </c>
      <c r="AB1" s="1">
        <v>9102.0</v>
      </c>
      <c r="AC1" s="1">
        <v>9103.0</v>
      </c>
      <c r="AD1" s="1">
        <v>9104.0</v>
      </c>
      <c r="AE1" s="1">
        <v>9105.0</v>
      </c>
      <c r="AF1" s="1">
        <v>9106.0</v>
      </c>
      <c r="AG1" s="1">
        <v>9107.0</v>
      </c>
      <c r="AH1" s="1">
        <v>9108.0</v>
      </c>
      <c r="AI1" s="1">
        <v>9110.0</v>
      </c>
      <c r="AJ1" s="1">
        <v>9111.0</v>
      </c>
      <c r="AK1" s="1">
        <v>9112.0</v>
      </c>
      <c r="AL1" s="1">
        <v>9114.0</v>
      </c>
      <c r="AM1" s="1">
        <v>9115.0</v>
      </c>
      <c r="AN1" s="1">
        <v>9116.0</v>
      </c>
      <c r="AO1" s="1">
        <v>9117.0</v>
      </c>
      <c r="AP1" s="1">
        <v>9118.0</v>
      </c>
      <c r="AQ1" s="1">
        <v>9119.0</v>
      </c>
      <c r="AR1" s="1">
        <v>9121.0</v>
      </c>
      <c r="AS1" s="1">
        <v>9123.0</v>
      </c>
      <c r="AT1" s="1">
        <v>9124.0</v>
      </c>
      <c r="AU1" s="1">
        <v>9133.0</v>
      </c>
      <c r="AV1" s="1">
        <v>9139.0</v>
      </c>
      <c r="AW1" s="1">
        <v>9136.0</v>
      </c>
    </row>
    <row r="2" ht="15.75" customHeight="1">
      <c r="A2" s="1" t="s">
        <v>1</v>
      </c>
      <c r="B2" s="1"/>
      <c r="C2" s="1"/>
      <c r="D2" s="1"/>
      <c r="E2" s="1"/>
      <c r="F2" s="1" t="s">
        <v>3</v>
      </c>
      <c r="G2" s="1" t="s">
        <v>5</v>
      </c>
      <c r="H2" s="1" t="s">
        <v>54</v>
      </c>
      <c r="I2" s="1" t="s">
        <v>8</v>
      </c>
      <c r="J2" s="1" t="s">
        <v>8</v>
      </c>
      <c r="K2" s="1" t="s">
        <v>2</v>
      </c>
      <c r="L2" s="1" t="s">
        <v>2</v>
      </c>
      <c r="M2" s="1" t="s">
        <v>3</v>
      </c>
      <c r="N2" s="1" t="s">
        <v>55</v>
      </c>
      <c r="O2" s="1" t="s">
        <v>56</v>
      </c>
      <c r="P2" s="1" t="s">
        <v>7</v>
      </c>
      <c r="Q2" s="1" t="s">
        <v>57</v>
      </c>
      <c r="R2" s="1" t="s">
        <v>11</v>
      </c>
      <c r="S2" s="1" t="s">
        <v>58</v>
      </c>
      <c r="T2" s="1" t="s">
        <v>59</v>
      </c>
      <c r="U2" s="1" t="s">
        <v>2</v>
      </c>
      <c r="V2" s="1" t="s">
        <v>60</v>
      </c>
      <c r="W2" s="1" t="s">
        <v>10</v>
      </c>
      <c r="X2" s="1" t="s">
        <v>8</v>
      </c>
      <c r="Y2" s="1" t="s">
        <v>10</v>
      </c>
      <c r="Z2" s="1" t="s">
        <v>61</v>
      </c>
      <c r="AA2" s="1" t="s">
        <v>9</v>
      </c>
      <c r="AB2" s="1" t="s">
        <v>5</v>
      </c>
      <c r="AC2" s="1" t="s">
        <v>62</v>
      </c>
      <c r="AD2" s="1" t="s">
        <v>63</v>
      </c>
      <c r="AE2" s="1" t="s">
        <v>64</v>
      </c>
      <c r="AF2" s="1" t="s">
        <v>11</v>
      </c>
      <c r="AG2" s="1" t="s">
        <v>5</v>
      </c>
      <c r="AH2" s="1" t="s">
        <v>2</v>
      </c>
      <c r="AI2" s="1" t="s">
        <v>65</v>
      </c>
      <c r="AJ2" s="1" t="s">
        <v>66</v>
      </c>
      <c r="AK2" s="1" t="s">
        <v>63</v>
      </c>
      <c r="AL2" s="1" t="s">
        <v>55</v>
      </c>
      <c r="AM2" s="1" t="s">
        <v>3</v>
      </c>
      <c r="AN2" s="1" t="s">
        <v>55</v>
      </c>
      <c r="AO2" s="1" t="s">
        <v>67</v>
      </c>
      <c r="AP2" s="1" t="s">
        <v>4</v>
      </c>
      <c r="AQ2" s="1" t="s">
        <v>8</v>
      </c>
      <c r="AR2" s="1" t="s">
        <v>6</v>
      </c>
      <c r="AS2" s="1" t="s">
        <v>68</v>
      </c>
      <c r="AT2" s="1" t="s">
        <v>3</v>
      </c>
      <c r="AU2" s="1" t="s">
        <v>69</v>
      </c>
      <c r="AV2" s="1" t="s">
        <v>70</v>
      </c>
      <c r="AW2" s="1" t="s">
        <v>8</v>
      </c>
    </row>
    <row r="3" ht="15.75" customHeight="1">
      <c r="A3" s="1" t="s">
        <v>71</v>
      </c>
      <c r="B3" s="1"/>
      <c r="C3" s="1"/>
      <c r="D3" s="1"/>
      <c r="E3" s="1"/>
      <c r="F3" s="1">
        <v>12.0</v>
      </c>
      <c r="G3" s="1">
        <v>11.5</v>
      </c>
      <c r="H3" s="1">
        <v>11.0</v>
      </c>
      <c r="I3" s="1">
        <v>11.5</v>
      </c>
      <c r="J3" s="1">
        <v>11.5</v>
      </c>
      <c r="K3" s="1">
        <v>11.5</v>
      </c>
      <c r="L3" s="1">
        <v>10.5</v>
      </c>
      <c r="M3" s="1">
        <v>12.0</v>
      </c>
      <c r="N3" s="1">
        <v>11.0</v>
      </c>
      <c r="O3" s="1">
        <v>10.5</v>
      </c>
      <c r="P3" s="1">
        <v>9.5</v>
      </c>
      <c r="Q3" s="1">
        <v>11.0</v>
      </c>
      <c r="R3" s="1">
        <v>9.0</v>
      </c>
      <c r="S3" s="1">
        <v>9.0</v>
      </c>
      <c r="T3" s="1">
        <v>8.5</v>
      </c>
      <c r="U3" s="1">
        <v>8.5</v>
      </c>
      <c r="V3" s="1">
        <v>9.5</v>
      </c>
      <c r="W3" s="1">
        <v>9.5</v>
      </c>
      <c r="X3" s="1">
        <v>8.5</v>
      </c>
      <c r="Y3" s="1">
        <v>8.5</v>
      </c>
      <c r="Z3" s="1">
        <v>8.5</v>
      </c>
      <c r="AA3" s="1">
        <v>7.5</v>
      </c>
      <c r="AB3" s="1">
        <v>8.5</v>
      </c>
      <c r="AC3" s="1">
        <v>7.5</v>
      </c>
      <c r="AD3" s="1">
        <v>7.5</v>
      </c>
      <c r="AE3" s="1">
        <v>7.5</v>
      </c>
      <c r="AF3" s="1">
        <v>7.5</v>
      </c>
      <c r="AG3" s="1">
        <v>8.0</v>
      </c>
      <c r="AH3" s="1">
        <v>8.0</v>
      </c>
      <c r="AI3" s="1">
        <v>7.5</v>
      </c>
      <c r="AJ3" s="1">
        <v>7.0</v>
      </c>
      <c r="AK3" s="1">
        <v>7.0</v>
      </c>
      <c r="AL3" s="1">
        <v>7.5</v>
      </c>
      <c r="AM3" s="1">
        <v>8.0</v>
      </c>
      <c r="AN3" s="1">
        <v>7.5</v>
      </c>
      <c r="AO3" s="1">
        <v>7.5</v>
      </c>
      <c r="AP3" s="1">
        <v>7.5</v>
      </c>
      <c r="AQ3" s="1">
        <v>7.5</v>
      </c>
      <c r="AR3" s="1">
        <v>7.5</v>
      </c>
      <c r="AS3" s="1">
        <v>7.0</v>
      </c>
      <c r="AT3" s="1">
        <v>7.5</v>
      </c>
      <c r="AU3" s="1">
        <v>12.5</v>
      </c>
      <c r="AV3" s="1">
        <v>9.5</v>
      </c>
      <c r="AW3" s="1">
        <v>4.5</v>
      </c>
    </row>
    <row r="4" ht="15.75" customHeight="1">
      <c r="A4" s="1" t="s">
        <v>13</v>
      </c>
      <c r="B4" s="1"/>
      <c r="C4" s="1"/>
      <c r="D4" s="1"/>
      <c r="E4" s="1"/>
      <c r="F4" s="1">
        <v>0.0</v>
      </c>
      <c r="G4" s="1">
        <v>5.1</v>
      </c>
      <c r="H4" s="1">
        <v>0.4</v>
      </c>
      <c r="I4" s="1">
        <v>1.8</v>
      </c>
      <c r="J4" s="1">
        <v>-7.7</v>
      </c>
      <c r="K4" s="1">
        <v>2.5</v>
      </c>
      <c r="L4" s="1">
        <v>5.1</v>
      </c>
      <c r="M4" s="1">
        <v>1.5</v>
      </c>
      <c r="N4" s="1">
        <v>3.1</v>
      </c>
      <c r="O4" s="1">
        <v>2.2</v>
      </c>
      <c r="P4" s="1">
        <v>0.9</v>
      </c>
      <c r="Q4" s="1">
        <v>5.3</v>
      </c>
      <c r="R4" s="1">
        <v>10.0</v>
      </c>
      <c r="S4" s="1">
        <v>3.3</v>
      </c>
      <c r="T4" s="1">
        <v>-0.1</v>
      </c>
      <c r="U4" s="1">
        <v>2.8</v>
      </c>
      <c r="V4" s="1">
        <v>4.0</v>
      </c>
      <c r="W4" s="1">
        <v>2.9</v>
      </c>
      <c r="X4" s="1">
        <v>6.3</v>
      </c>
      <c r="Y4" s="1">
        <v>2.8</v>
      </c>
      <c r="Z4" s="1">
        <v>5.7</v>
      </c>
      <c r="AA4" s="1">
        <v>5.6</v>
      </c>
      <c r="AB4" s="1">
        <v>1.4</v>
      </c>
      <c r="AC4" s="1">
        <v>-0.2</v>
      </c>
      <c r="AD4" s="1">
        <v>1.8</v>
      </c>
      <c r="AE4" s="1">
        <v>4.7</v>
      </c>
      <c r="AF4" s="1">
        <v>6.3</v>
      </c>
      <c r="AG4" s="1">
        <v>1.0</v>
      </c>
      <c r="AH4" s="1">
        <v>4.5</v>
      </c>
      <c r="AI4" s="1">
        <v>2.7</v>
      </c>
      <c r="AJ4" s="1">
        <v>1.9</v>
      </c>
      <c r="AK4" s="1">
        <v>3.3</v>
      </c>
      <c r="AL4" s="1">
        <v>5.7</v>
      </c>
      <c r="AM4" s="1">
        <v>0.0</v>
      </c>
      <c r="AN4" s="1">
        <v>2.4</v>
      </c>
      <c r="AO4" s="1">
        <v>3.6</v>
      </c>
      <c r="AP4" s="1">
        <v>6.0</v>
      </c>
      <c r="AQ4" s="1">
        <v>0.7</v>
      </c>
      <c r="AR4" s="1">
        <v>2.7</v>
      </c>
      <c r="AS4" s="1">
        <v>3.8</v>
      </c>
      <c r="AT4" s="1">
        <v>5.0</v>
      </c>
      <c r="AU4" s="1">
        <v>7.4</v>
      </c>
      <c r="AV4" s="1">
        <v>-5.1</v>
      </c>
      <c r="AW4" s="1">
        <v>-0.5</v>
      </c>
    </row>
    <row r="5" ht="15.75" customHeight="1">
      <c r="A5" s="1" t="s">
        <v>14</v>
      </c>
      <c r="F5" s="1" t="str">
        <f t="shared" ref="F5:AW5" si="1">ABS(0.8 - F4)</f>
        <v>0.8</v>
      </c>
      <c r="G5" s="1" t="str">
        <f t="shared" si="1"/>
        <v>4.3</v>
      </c>
      <c r="H5" s="1" t="str">
        <f t="shared" si="1"/>
        <v>0.4</v>
      </c>
      <c r="I5" s="1" t="str">
        <f t="shared" si="1"/>
        <v>1</v>
      </c>
      <c r="J5" s="1" t="str">
        <f t="shared" si="1"/>
        <v>8.5</v>
      </c>
      <c r="K5" s="1" t="str">
        <f t="shared" si="1"/>
        <v>1.7</v>
      </c>
      <c r="L5" s="1" t="str">
        <f t="shared" si="1"/>
        <v>4.3</v>
      </c>
      <c r="M5" s="1" t="str">
        <f t="shared" si="1"/>
        <v>0.7</v>
      </c>
      <c r="N5" s="1" t="str">
        <f t="shared" si="1"/>
        <v>2.3</v>
      </c>
      <c r="O5" s="1" t="str">
        <f t="shared" si="1"/>
        <v>1.4</v>
      </c>
      <c r="P5" s="1" t="str">
        <f t="shared" si="1"/>
        <v>0.1</v>
      </c>
      <c r="Q5" s="1" t="str">
        <f t="shared" si="1"/>
        <v>4.5</v>
      </c>
      <c r="R5" s="1" t="str">
        <f t="shared" si="1"/>
        <v>9.2</v>
      </c>
      <c r="S5" s="1" t="str">
        <f t="shared" si="1"/>
        <v>2.5</v>
      </c>
      <c r="T5" s="1" t="str">
        <f t="shared" si="1"/>
        <v>0.9</v>
      </c>
      <c r="U5" s="1" t="str">
        <f t="shared" si="1"/>
        <v>2</v>
      </c>
      <c r="V5" s="1" t="str">
        <f t="shared" si="1"/>
        <v>3.2</v>
      </c>
      <c r="W5" s="1" t="str">
        <f t="shared" si="1"/>
        <v>2.1</v>
      </c>
      <c r="X5" s="1" t="str">
        <f t="shared" si="1"/>
        <v>5.5</v>
      </c>
      <c r="Y5" s="1" t="str">
        <f t="shared" si="1"/>
        <v>2</v>
      </c>
      <c r="Z5" s="1" t="str">
        <f t="shared" si="1"/>
        <v>4.9</v>
      </c>
      <c r="AA5" s="1" t="str">
        <f t="shared" si="1"/>
        <v>4.8</v>
      </c>
      <c r="AB5" s="1" t="str">
        <f t="shared" si="1"/>
        <v>0.6</v>
      </c>
      <c r="AC5" s="1" t="str">
        <f t="shared" si="1"/>
        <v>1</v>
      </c>
      <c r="AD5" s="1" t="str">
        <f t="shared" si="1"/>
        <v>1</v>
      </c>
      <c r="AE5" s="1" t="str">
        <f t="shared" si="1"/>
        <v>3.9</v>
      </c>
      <c r="AF5" s="1" t="str">
        <f t="shared" si="1"/>
        <v>5.5</v>
      </c>
      <c r="AG5" s="1" t="str">
        <f t="shared" si="1"/>
        <v>0.2</v>
      </c>
      <c r="AH5" s="1" t="str">
        <f t="shared" si="1"/>
        <v>3.7</v>
      </c>
      <c r="AI5" s="1" t="str">
        <f t="shared" si="1"/>
        <v>1.9</v>
      </c>
      <c r="AJ5" s="1" t="str">
        <f t="shared" si="1"/>
        <v>1.1</v>
      </c>
      <c r="AK5" s="1" t="str">
        <f t="shared" si="1"/>
        <v>2.5</v>
      </c>
      <c r="AL5" s="1" t="str">
        <f t="shared" si="1"/>
        <v>4.9</v>
      </c>
      <c r="AM5" s="1" t="str">
        <f t="shared" si="1"/>
        <v>0.8</v>
      </c>
      <c r="AN5" s="1" t="str">
        <f t="shared" si="1"/>
        <v>1.6</v>
      </c>
      <c r="AO5" s="1" t="str">
        <f t="shared" si="1"/>
        <v>2.8</v>
      </c>
      <c r="AP5" s="1" t="str">
        <f t="shared" si="1"/>
        <v>5.2</v>
      </c>
      <c r="AQ5" s="1" t="str">
        <f t="shared" si="1"/>
        <v>0.1</v>
      </c>
      <c r="AR5" s="1" t="str">
        <f t="shared" si="1"/>
        <v>1.9</v>
      </c>
      <c r="AS5" s="1" t="str">
        <f t="shared" si="1"/>
        <v>3</v>
      </c>
      <c r="AT5" s="1" t="str">
        <f t="shared" si="1"/>
        <v>4.2</v>
      </c>
      <c r="AU5" s="1" t="str">
        <f t="shared" si="1"/>
        <v>6.6</v>
      </c>
      <c r="AV5" s="1" t="str">
        <f t="shared" si="1"/>
        <v>5.9</v>
      </c>
      <c r="AW5" s="1" t="str">
        <f t="shared" si="1"/>
        <v>1.3</v>
      </c>
    </row>
    <row r="6" ht="15.75" customHeight="1">
      <c r="A6" s="1" t="s">
        <v>15</v>
      </c>
      <c r="F6" s="1" t="str">
        <f t="shared" ref="F6:AW6" si="2">0.8 - F4</f>
        <v>0.8</v>
      </c>
      <c r="G6" s="1" t="str">
        <f t="shared" si="2"/>
        <v>-4.3</v>
      </c>
      <c r="H6" s="1" t="str">
        <f t="shared" si="2"/>
        <v>0.4</v>
      </c>
      <c r="I6" s="1" t="str">
        <f t="shared" si="2"/>
        <v>-1</v>
      </c>
      <c r="J6" s="1" t="str">
        <f t="shared" si="2"/>
        <v>8.5</v>
      </c>
      <c r="K6" s="1" t="str">
        <f t="shared" si="2"/>
        <v>-1.7</v>
      </c>
      <c r="L6" s="1" t="str">
        <f t="shared" si="2"/>
        <v>-4.3</v>
      </c>
      <c r="M6" s="1" t="str">
        <f t="shared" si="2"/>
        <v>-0.7</v>
      </c>
      <c r="N6" s="1" t="str">
        <f t="shared" si="2"/>
        <v>-2.3</v>
      </c>
      <c r="O6" s="1" t="str">
        <f t="shared" si="2"/>
        <v>-1.4</v>
      </c>
      <c r="P6" s="1" t="str">
        <f t="shared" si="2"/>
        <v>-0.1</v>
      </c>
      <c r="Q6" s="1" t="str">
        <f t="shared" si="2"/>
        <v>-4.5</v>
      </c>
      <c r="R6" s="1" t="str">
        <f t="shared" si="2"/>
        <v>-9.2</v>
      </c>
      <c r="S6" s="1" t="str">
        <f t="shared" si="2"/>
        <v>-2.5</v>
      </c>
      <c r="T6" s="1" t="str">
        <f t="shared" si="2"/>
        <v>0.9</v>
      </c>
      <c r="U6" s="1" t="str">
        <f t="shared" si="2"/>
        <v>-2</v>
      </c>
      <c r="V6" s="1" t="str">
        <f t="shared" si="2"/>
        <v>-3.2</v>
      </c>
      <c r="W6" s="1" t="str">
        <f t="shared" si="2"/>
        <v>-2.1</v>
      </c>
      <c r="X6" s="1" t="str">
        <f t="shared" si="2"/>
        <v>-5.5</v>
      </c>
      <c r="Y6" s="1" t="str">
        <f t="shared" si="2"/>
        <v>-2</v>
      </c>
      <c r="Z6" s="1" t="str">
        <f t="shared" si="2"/>
        <v>-4.9</v>
      </c>
      <c r="AA6" s="1" t="str">
        <f t="shared" si="2"/>
        <v>-4.8</v>
      </c>
      <c r="AB6" s="1" t="str">
        <f t="shared" si="2"/>
        <v>-0.6</v>
      </c>
      <c r="AC6" s="1" t="str">
        <f t="shared" si="2"/>
        <v>1</v>
      </c>
      <c r="AD6" s="1" t="str">
        <f t="shared" si="2"/>
        <v>-1</v>
      </c>
      <c r="AE6" s="1" t="str">
        <f t="shared" si="2"/>
        <v>-3.9</v>
      </c>
      <c r="AF6" s="1" t="str">
        <f t="shared" si="2"/>
        <v>-5.5</v>
      </c>
      <c r="AG6" s="1" t="str">
        <f t="shared" si="2"/>
        <v>-0.2</v>
      </c>
      <c r="AH6" s="1" t="str">
        <f t="shared" si="2"/>
        <v>-3.7</v>
      </c>
      <c r="AI6" s="1" t="str">
        <f t="shared" si="2"/>
        <v>-1.9</v>
      </c>
      <c r="AJ6" s="1" t="str">
        <f t="shared" si="2"/>
        <v>-1.1</v>
      </c>
      <c r="AK6" s="1" t="str">
        <f t="shared" si="2"/>
        <v>-2.5</v>
      </c>
      <c r="AL6" s="1" t="str">
        <f t="shared" si="2"/>
        <v>-4.9</v>
      </c>
      <c r="AM6" s="1" t="str">
        <f t="shared" si="2"/>
        <v>0.8</v>
      </c>
      <c r="AN6" s="1" t="str">
        <f t="shared" si="2"/>
        <v>-1.6</v>
      </c>
      <c r="AO6" s="1" t="str">
        <f t="shared" si="2"/>
        <v>-2.8</v>
      </c>
      <c r="AP6" s="1" t="str">
        <f t="shared" si="2"/>
        <v>-5.2</v>
      </c>
      <c r="AQ6" s="1" t="str">
        <f t="shared" si="2"/>
        <v>0.1</v>
      </c>
      <c r="AR6" s="1" t="str">
        <f t="shared" si="2"/>
        <v>-1.9</v>
      </c>
      <c r="AS6" s="1" t="str">
        <f t="shared" si="2"/>
        <v>-3</v>
      </c>
      <c r="AT6" s="1" t="str">
        <f t="shared" si="2"/>
        <v>-4.2</v>
      </c>
      <c r="AU6" s="1" t="str">
        <f t="shared" si="2"/>
        <v>-6.6</v>
      </c>
      <c r="AV6" s="1" t="str">
        <f t="shared" si="2"/>
        <v>5.9</v>
      </c>
      <c r="AW6" s="1" t="str">
        <f t="shared" si="2"/>
        <v>1.3</v>
      </c>
    </row>
    <row r="7" ht="15.75" customHeight="1">
      <c r="A7" s="1" t="s">
        <v>16</v>
      </c>
      <c r="B7" s="1"/>
      <c r="C7" s="1"/>
      <c r="D7" s="1"/>
      <c r="E7" s="1"/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0.0</v>
      </c>
      <c r="P7" s="1">
        <v>1.0</v>
      </c>
      <c r="Q7" s="1">
        <v>1.0</v>
      </c>
      <c r="R7" s="1">
        <v>1.0</v>
      </c>
      <c r="S7" s="1">
        <v>1.0</v>
      </c>
      <c r="T7" s="1">
        <v>1.0</v>
      </c>
      <c r="U7" s="1">
        <v>1.0</v>
      </c>
      <c r="V7" s="1">
        <v>1.0</v>
      </c>
      <c r="W7" s="1">
        <v>1.0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  <c r="AC7" s="1">
        <v>1.0</v>
      </c>
      <c r="AD7" s="1">
        <v>1.0</v>
      </c>
      <c r="AE7" s="1">
        <v>1.0</v>
      </c>
      <c r="AF7" s="1">
        <v>1.0</v>
      </c>
      <c r="AG7" s="1">
        <v>1.0</v>
      </c>
      <c r="AH7" s="1">
        <v>1.0</v>
      </c>
      <c r="AI7" s="1">
        <v>1.0</v>
      </c>
      <c r="AJ7" s="1">
        <v>1.0</v>
      </c>
      <c r="AK7" s="1">
        <v>1.0</v>
      </c>
      <c r="AL7" s="1">
        <v>1.0</v>
      </c>
      <c r="AM7" s="1">
        <v>1.0</v>
      </c>
      <c r="AN7" s="1">
        <v>1.0</v>
      </c>
      <c r="AO7" s="1">
        <v>1.0</v>
      </c>
      <c r="AP7" s="1">
        <v>1.0</v>
      </c>
      <c r="AQ7" s="1">
        <v>1.0</v>
      </c>
      <c r="AR7" s="1">
        <v>1.0</v>
      </c>
      <c r="AS7" s="1">
        <v>1.0</v>
      </c>
      <c r="AT7" s="1">
        <v>1.0</v>
      </c>
      <c r="AU7" s="1">
        <v>1.0</v>
      </c>
      <c r="AV7" s="1">
        <v>1.0</v>
      </c>
      <c r="AW7" s="1">
        <v>1.0</v>
      </c>
    </row>
    <row r="8" ht="15.75" customHeight="1">
      <c r="A8" s="1" t="s">
        <v>17</v>
      </c>
      <c r="B8" s="1"/>
      <c r="C8" s="1"/>
      <c r="D8" s="1"/>
      <c r="E8" s="1"/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0.0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">
        <v>1.0</v>
      </c>
      <c r="AF8" s="1">
        <v>1.0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>
        <v>1.0</v>
      </c>
      <c r="AN8" s="1">
        <v>1.0</v>
      </c>
      <c r="AO8" s="1">
        <v>1.0</v>
      </c>
      <c r="AP8" s="1">
        <v>1.0</v>
      </c>
      <c r="AQ8" s="1">
        <v>1.0</v>
      </c>
      <c r="AR8" s="1">
        <v>1.0</v>
      </c>
      <c r="AS8" s="1">
        <v>1.0</v>
      </c>
      <c r="AT8" s="1">
        <v>1.0</v>
      </c>
      <c r="AU8" s="1">
        <v>1.0</v>
      </c>
      <c r="AV8" s="1">
        <v>1.0</v>
      </c>
      <c r="AW8" s="1">
        <v>1.0</v>
      </c>
    </row>
    <row r="9" ht="15.75" customHeight="1">
      <c r="A9" s="1" t="s">
        <v>18</v>
      </c>
      <c r="B9" s="1"/>
      <c r="C9" s="1"/>
      <c r="D9" s="1"/>
      <c r="E9" s="1"/>
      <c r="F9" s="1">
        <v>1.0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1.0</v>
      </c>
      <c r="T9" s="1">
        <v>1.0</v>
      </c>
      <c r="U9" s="1">
        <v>1.0</v>
      </c>
      <c r="V9" s="1">
        <v>1.0</v>
      </c>
      <c r="W9" s="1">
        <v>1.0</v>
      </c>
      <c r="X9" s="1">
        <v>1.0</v>
      </c>
      <c r="Y9" s="1">
        <v>1.0</v>
      </c>
      <c r="Z9" s="1">
        <v>1.0</v>
      </c>
      <c r="AA9" s="1">
        <v>1.0</v>
      </c>
      <c r="AB9" s="1">
        <v>1.0</v>
      </c>
      <c r="AC9" s="1">
        <v>1.0</v>
      </c>
      <c r="AD9" s="1">
        <v>1.0</v>
      </c>
      <c r="AE9" s="1">
        <v>1.0</v>
      </c>
      <c r="AF9" s="1">
        <v>1.0</v>
      </c>
      <c r="AG9" s="1">
        <v>1.0</v>
      </c>
      <c r="AH9" s="1">
        <v>1.0</v>
      </c>
      <c r="AI9" s="1">
        <v>1.0</v>
      </c>
      <c r="AJ9" s="1">
        <v>1.0</v>
      </c>
      <c r="AK9" s="1">
        <v>1.0</v>
      </c>
      <c r="AL9" s="1">
        <v>1.0</v>
      </c>
      <c r="AM9" s="1">
        <v>1.0</v>
      </c>
      <c r="AN9" s="1">
        <v>1.0</v>
      </c>
      <c r="AO9" s="1">
        <v>1.0</v>
      </c>
      <c r="AP9" s="1">
        <v>1.0</v>
      </c>
      <c r="AQ9" s="1">
        <v>1.0</v>
      </c>
      <c r="AR9" s="1">
        <v>1.0</v>
      </c>
      <c r="AS9" s="1">
        <v>1.0</v>
      </c>
      <c r="AT9" s="1">
        <v>1.0</v>
      </c>
      <c r="AU9" s="1">
        <v>1.0</v>
      </c>
      <c r="AV9" s="1">
        <v>1.0</v>
      </c>
      <c r="AW9" s="1">
        <v>1.0</v>
      </c>
    </row>
    <row r="10" ht="15.75" customHeight="1">
      <c r="A10" s="1" t="s">
        <v>19</v>
      </c>
      <c r="B10" s="1"/>
      <c r="C10" s="1"/>
      <c r="D10" s="1"/>
      <c r="E10" s="1"/>
      <c r="F10" s="1">
        <v>1.0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1.0</v>
      </c>
      <c r="T10" s="1">
        <v>1.0</v>
      </c>
      <c r="U10" s="1">
        <v>1.0</v>
      </c>
      <c r="V10" s="1">
        <v>1.0</v>
      </c>
      <c r="W10" s="1">
        <v>1.0</v>
      </c>
      <c r="X10" s="1">
        <v>1.0</v>
      </c>
      <c r="Y10" s="1">
        <v>1.0</v>
      </c>
      <c r="Z10" s="1">
        <v>1.0</v>
      </c>
      <c r="AA10" s="1">
        <v>1.0</v>
      </c>
      <c r="AB10" s="1">
        <v>1.0</v>
      </c>
      <c r="AC10" s="1">
        <v>1.0</v>
      </c>
      <c r="AD10" s="1">
        <v>1.0</v>
      </c>
      <c r="AE10" s="1">
        <v>1.0</v>
      </c>
      <c r="AF10" s="1">
        <v>1.0</v>
      </c>
      <c r="AG10" s="1">
        <v>1.0</v>
      </c>
      <c r="AH10" s="1">
        <v>1.0</v>
      </c>
      <c r="AI10" s="1">
        <v>1.0</v>
      </c>
      <c r="AJ10" s="1">
        <v>1.0</v>
      </c>
      <c r="AK10" s="1">
        <v>1.0</v>
      </c>
      <c r="AL10" s="1">
        <v>1.0</v>
      </c>
      <c r="AM10" s="1">
        <v>1.0</v>
      </c>
      <c r="AN10" s="1">
        <v>1.0</v>
      </c>
      <c r="AO10" s="1">
        <v>1.0</v>
      </c>
      <c r="AP10" s="1">
        <v>1.0</v>
      </c>
      <c r="AQ10" s="1">
        <v>1.0</v>
      </c>
      <c r="AR10" s="1">
        <v>1.0</v>
      </c>
      <c r="AS10" s="1">
        <v>1.0</v>
      </c>
      <c r="AT10" s="1">
        <v>1.0</v>
      </c>
      <c r="AU10" s="1">
        <v>1.0</v>
      </c>
      <c r="AV10" s="1">
        <v>1.0</v>
      </c>
      <c r="AW10" s="1">
        <v>1.0</v>
      </c>
    </row>
    <row r="11" ht="15.75" customHeight="1">
      <c r="A11" s="1" t="s">
        <v>20</v>
      </c>
      <c r="B11" s="1"/>
      <c r="C11" s="1"/>
      <c r="D11" s="1"/>
      <c r="E11" s="1"/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  <c r="T11" s="1">
        <v>1.0</v>
      </c>
      <c r="U11" s="1">
        <v>1.0</v>
      </c>
      <c r="V11" s="1">
        <v>1.0</v>
      </c>
      <c r="W11" s="1">
        <v>1.0</v>
      </c>
      <c r="X11" s="1">
        <v>1.0</v>
      </c>
      <c r="Y11" s="1">
        <v>1.0</v>
      </c>
      <c r="Z11" s="1">
        <v>1.0</v>
      </c>
      <c r="AA11" s="1">
        <v>1.0</v>
      </c>
      <c r="AB11" s="1">
        <v>1.0</v>
      </c>
      <c r="AC11" s="1">
        <v>1.0</v>
      </c>
      <c r="AD11" s="1">
        <v>1.0</v>
      </c>
      <c r="AE11" s="1">
        <v>1.0</v>
      </c>
      <c r="AF11" s="1">
        <v>1.0</v>
      </c>
      <c r="AG11" s="1">
        <v>1.0</v>
      </c>
      <c r="AH11" s="1">
        <v>1.0</v>
      </c>
      <c r="AI11" s="1">
        <v>1.0</v>
      </c>
      <c r="AJ11" s="1">
        <v>1.0</v>
      </c>
      <c r="AK11" s="1">
        <v>1.0</v>
      </c>
      <c r="AL11" s="1">
        <v>1.0</v>
      </c>
      <c r="AM11" s="1">
        <v>1.0</v>
      </c>
      <c r="AN11" s="1">
        <v>1.0</v>
      </c>
      <c r="AO11" s="1">
        <v>1.0</v>
      </c>
      <c r="AP11" s="1">
        <v>1.0</v>
      </c>
      <c r="AQ11" s="1">
        <v>1.0</v>
      </c>
      <c r="AR11" s="1">
        <v>1.0</v>
      </c>
      <c r="AS11" s="1">
        <v>1.0</v>
      </c>
      <c r="AT11" s="1">
        <v>1.0</v>
      </c>
      <c r="AU11" s="1">
        <v>1.0</v>
      </c>
      <c r="AV11" s="1">
        <v>1.0</v>
      </c>
      <c r="AW11" s="1">
        <v>1.0</v>
      </c>
    </row>
    <row r="12" ht="15.75" customHeight="1">
      <c r="A12" s="1" t="s">
        <v>21</v>
      </c>
      <c r="B12" s="1"/>
      <c r="C12" s="1"/>
      <c r="D12" s="1"/>
      <c r="E12" s="1"/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1.0</v>
      </c>
      <c r="T12" s="1">
        <v>1.0</v>
      </c>
      <c r="U12" s="1">
        <v>1.0</v>
      </c>
      <c r="V12" s="1">
        <v>1.0</v>
      </c>
      <c r="W12" s="1">
        <v>1.0</v>
      </c>
      <c r="X12" s="1">
        <v>1.0</v>
      </c>
      <c r="Y12" s="1">
        <v>1.0</v>
      </c>
      <c r="Z12" s="1">
        <v>1.0</v>
      </c>
      <c r="AA12" s="1">
        <v>1.0</v>
      </c>
      <c r="AB12" s="1">
        <v>1.0</v>
      </c>
      <c r="AC12" s="1">
        <v>1.0</v>
      </c>
      <c r="AD12" s="1">
        <v>1.0</v>
      </c>
      <c r="AE12" s="1">
        <v>1.0</v>
      </c>
      <c r="AF12" s="1">
        <v>1.0</v>
      </c>
      <c r="AG12" s="1">
        <v>1.0</v>
      </c>
      <c r="AH12" s="1">
        <v>1.0</v>
      </c>
      <c r="AI12" s="1">
        <v>1.0</v>
      </c>
      <c r="AJ12" s="1">
        <v>1.0</v>
      </c>
      <c r="AK12" s="1">
        <v>1.0</v>
      </c>
      <c r="AL12" s="1">
        <v>1.0</v>
      </c>
      <c r="AM12" s="1">
        <v>1.0</v>
      </c>
      <c r="AN12" s="1">
        <v>1.0</v>
      </c>
      <c r="AO12" s="1">
        <v>1.0</v>
      </c>
      <c r="AP12" s="1">
        <v>1.0</v>
      </c>
      <c r="AQ12" s="1">
        <v>1.0</v>
      </c>
      <c r="AR12" s="1">
        <v>1.0</v>
      </c>
      <c r="AS12" s="1">
        <v>1.0</v>
      </c>
      <c r="AT12" s="1">
        <v>1.0</v>
      </c>
      <c r="AU12" s="1">
        <v>1.0</v>
      </c>
      <c r="AV12" s="1">
        <v>1.0</v>
      </c>
      <c r="AW12" s="1">
        <v>1.0</v>
      </c>
    </row>
    <row r="13" ht="15.75" customHeight="1">
      <c r="A13" s="1" t="s">
        <v>22</v>
      </c>
      <c r="B13" s="1"/>
      <c r="C13" s="1"/>
      <c r="D13" s="1"/>
      <c r="E13" s="1"/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0.5</v>
      </c>
      <c r="P13" s="1">
        <v>1.0</v>
      </c>
      <c r="Q13" s="1">
        <v>1.0</v>
      </c>
      <c r="R13" s="1">
        <v>1.0</v>
      </c>
      <c r="S13" s="1">
        <v>1.0</v>
      </c>
      <c r="T13" s="1">
        <v>1.0</v>
      </c>
      <c r="U13" s="1">
        <v>1.0</v>
      </c>
      <c r="V13" s="1">
        <v>1.0</v>
      </c>
      <c r="W13" s="1">
        <v>1.0</v>
      </c>
      <c r="X13" s="1">
        <v>1.0</v>
      </c>
      <c r="Y13" s="1">
        <v>1.0</v>
      </c>
      <c r="Z13" s="1">
        <v>1.0</v>
      </c>
      <c r="AA13" s="1">
        <v>1.0</v>
      </c>
      <c r="AB13" s="1">
        <v>1.0</v>
      </c>
      <c r="AC13" s="1">
        <v>1.0</v>
      </c>
      <c r="AD13" s="1">
        <v>1.0</v>
      </c>
      <c r="AE13" s="1">
        <v>1.0</v>
      </c>
      <c r="AF13" s="1">
        <v>1.0</v>
      </c>
      <c r="AG13" s="1">
        <v>1.0</v>
      </c>
      <c r="AH13" s="1">
        <v>1.0</v>
      </c>
      <c r="AI13" s="1">
        <v>1.0</v>
      </c>
      <c r="AJ13" s="1">
        <v>1.0</v>
      </c>
      <c r="AK13" s="1">
        <v>1.0</v>
      </c>
      <c r="AL13" s="1">
        <v>1.0</v>
      </c>
      <c r="AM13" s="1">
        <v>1.0</v>
      </c>
      <c r="AN13" s="1">
        <v>0.5</v>
      </c>
      <c r="AO13" s="1">
        <v>1.0</v>
      </c>
      <c r="AP13" s="1">
        <v>1.0</v>
      </c>
      <c r="AQ13" s="1">
        <v>1.0</v>
      </c>
      <c r="AR13" s="1">
        <v>1.0</v>
      </c>
      <c r="AS13" s="1">
        <v>1.0</v>
      </c>
      <c r="AT13" s="1">
        <v>1.0</v>
      </c>
      <c r="AU13" s="1">
        <v>1.0</v>
      </c>
      <c r="AV13" s="1">
        <v>1.0</v>
      </c>
      <c r="AW13" s="1">
        <v>1.0</v>
      </c>
    </row>
    <row r="14" ht="15.75" customHeight="1">
      <c r="A14" s="1" t="s">
        <v>23</v>
      </c>
      <c r="B14" s="1"/>
      <c r="C14" s="1"/>
      <c r="D14" s="1"/>
      <c r="E14" s="1"/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1.0</v>
      </c>
      <c r="AC14" s="1">
        <v>1.0</v>
      </c>
      <c r="AD14" s="1">
        <v>1.0</v>
      </c>
      <c r="AE14" s="1">
        <v>1.0</v>
      </c>
      <c r="AF14" s="1">
        <v>1.0</v>
      </c>
      <c r="AG14" s="1">
        <v>1.0</v>
      </c>
      <c r="AH14" s="1">
        <v>1.0</v>
      </c>
      <c r="AI14" s="1">
        <v>1.0</v>
      </c>
      <c r="AJ14" s="1">
        <v>1.0</v>
      </c>
      <c r="AK14" s="1">
        <v>1.0</v>
      </c>
      <c r="AL14" s="1">
        <v>1.0</v>
      </c>
      <c r="AM14" s="1">
        <v>1.0</v>
      </c>
      <c r="AN14" s="1">
        <v>1.0</v>
      </c>
      <c r="AO14" s="1">
        <v>1.0</v>
      </c>
      <c r="AP14" s="1">
        <v>1.0</v>
      </c>
      <c r="AQ14" s="1">
        <v>1.0</v>
      </c>
      <c r="AR14" s="1">
        <v>1.0</v>
      </c>
      <c r="AS14" s="1">
        <v>1.0</v>
      </c>
      <c r="AT14" s="1">
        <v>1.0</v>
      </c>
      <c r="AU14" s="1">
        <v>1.0</v>
      </c>
      <c r="AV14" s="1">
        <v>1.0</v>
      </c>
      <c r="AW14" s="1">
        <v>1.0</v>
      </c>
    </row>
    <row r="15" ht="15.75" customHeight="1">
      <c r="A15" s="1" t="s">
        <v>24</v>
      </c>
      <c r="B15" s="1"/>
      <c r="C15" s="1"/>
      <c r="D15" s="1"/>
      <c r="E15" s="1"/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</row>
    <row r="16" ht="15.75" customHeight="1">
      <c r="A16" s="1" t="s">
        <v>25</v>
      </c>
      <c r="B16" s="1"/>
      <c r="C16" s="1"/>
      <c r="D16" s="1"/>
      <c r="E16" s="1"/>
      <c r="F16" s="1">
        <v>0.0</v>
      </c>
      <c r="G16" s="1">
        <v>1.0</v>
      </c>
      <c r="H16" s="1">
        <v>0.0</v>
      </c>
      <c r="I16" s="1">
        <v>0.5</v>
      </c>
      <c r="J16" s="1">
        <v>0.5</v>
      </c>
      <c r="K16" s="1">
        <v>0.0</v>
      </c>
      <c r="L16" s="1">
        <v>0.0</v>
      </c>
      <c r="M16" s="1">
        <v>0.0</v>
      </c>
      <c r="N16" s="1">
        <v>0.5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0.5</v>
      </c>
      <c r="V16" s="1">
        <v>0.0</v>
      </c>
      <c r="W16" s="1">
        <v>0.5</v>
      </c>
      <c r="X16" s="1">
        <v>0.5</v>
      </c>
      <c r="Y16" s="1">
        <v>0.5</v>
      </c>
      <c r="Z16" s="1">
        <v>0.0</v>
      </c>
      <c r="AA16" s="1">
        <v>0.0</v>
      </c>
      <c r="AB16" s="1">
        <v>0.5</v>
      </c>
      <c r="AC16" s="1">
        <v>0.5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0.5</v>
      </c>
      <c r="AM16" s="1">
        <v>0.5</v>
      </c>
      <c r="AN16" s="1">
        <v>0.5</v>
      </c>
      <c r="AO16" s="1">
        <v>0.0</v>
      </c>
      <c r="AP16" s="1">
        <v>0.5</v>
      </c>
      <c r="AQ16" s="1">
        <v>0.5</v>
      </c>
      <c r="AR16" s="1">
        <v>0.5</v>
      </c>
      <c r="AS16" s="1">
        <v>0.0</v>
      </c>
      <c r="AT16" s="1">
        <v>0.0</v>
      </c>
      <c r="AU16" s="1">
        <v>0.0</v>
      </c>
      <c r="AV16" s="1">
        <v>0.0</v>
      </c>
      <c r="AW16" s="1">
        <v>0.5</v>
      </c>
    </row>
    <row r="17" ht="15.75" customHeight="1">
      <c r="A17" s="1" t="s">
        <v>26</v>
      </c>
      <c r="B17" s="1"/>
      <c r="C17" s="1"/>
      <c r="D17" s="1"/>
      <c r="E17" s="1"/>
      <c r="F17" s="1" t="s">
        <v>72</v>
      </c>
      <c r="G17" s="1" t="s">
        <v>72</v>
      </c>
      <c r="H17" s="1" t="s">
        <v>72</v>
      </c>
      <c r="I17" s="1" t="s">
        <v>29</v>
      </c>
      <c r="J17" s="1" t="s">
        <v>33</v>
      </c>
      <c r="K17" s="1" t="s">
        <v>73</v>
      </c>
      <c r="L17" s="1" t="s">
        <v>29</v>
      </c>
      <c r="M17" s="1" t="s">
        <v>72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28</v>
      </c>
      <c r="S17" s="1" t="s">
        <v>29</v>
      </c>
      <c r="T17" s="1" t="s">
        <v>74</v>
      </c>
      <c r="U17" s="1" t="s">
        <v>29</v>
      </c>
      <c r="V17" s="1" t="s">
        <v>29</v>
      </c>
      <c r="W17" s="1" t="s">
        <v>29</v>
      </c>
      <c r="X17" s="1" t="s">
        <v>28</v>
      </c>
      <c r="Y17" s="1" t="s">
        <v>74</v>
      </c>
      <c r="Z17" s="1" t="s">
        <v>30</v>
      </c>
      <c r="AA17" s="1" t="s">
        <v>74</v>
      </c>
      <c r="AB17" s="1" t="s">
        <v>28</v>
      </c>
      <c r="AC17" s="1" t="s">
        <v>29</v>
      </c>
      <c r="AD17" s="1" t="s">
        <v>33</v>
      </c>
      <c r="AE17" s="1" t="s">
        <v>28</v>
      </c>
      <c r="AF17" s="1" t="s">
        <v>28</v>
      </c>
      <c r="AG17" s="1" t="s">
        <v>28</v>
      </c>
      <c r="AH17" s="1" t="s">
        <v>75</v>
      </c>
      <c r="AI17" s="8" t="s">
        <v>76</v>
      </c>
      <c r="AJ17" s="1" t="s">
        <v>33</v>
      </c>
      <c r="AK17" s="1" t="s">
        <v>33</v>
      </c>
      <c r="AL17" s="1" t="s">
        <v>29</v>
      </c>
      <c r="AM17" s="8" t="s">
        <v>28</v>
      </c>
      <c r="AN17" s="1" t="s">
        <v>29</v>
      </c>
      <c r="AO17" s="8" t="s">
        <v>28</v>
      </c>
      <c r="AP17" s="1" t="s">
        <v>29</v>
      </c>
      <c r="AQ17" s="1" t="s">
        <v>29</v>
      </c>
      <c r="AR17" s="8" t="s">
        <v>28</v>
      </c>
      <c r="AS17" s="1" t="s">
        <v>29</v>
      </c>
      <c r="AT17" s="8" t="s">
        <v>28</v>
      </c>
      <c r="AU17" s="1" t="s">
        <v>29</v>
      </c>
      <c r="AV17" s="1" t="s">
        <v>77</v>
      </c>
      <c r="AW17" s="1" t="s">
        <v>29</v>
      </c>
    </row>
    <row r="18" ht="15.75" customHeight="1">
      <c r="A18" s="1" t="s">
        <v>78</v>
      </c>
      <c r="B18" s="1"/>
      <c r="C18" s="1"/>
      <c r="D18" s="1"/>
      <c r="E18" s="1"/>
      <c r="F18" s="1">
        <v>3.0</v>
      </c>
      <c r="G18" s="1">
        <v>3.0</v>
      </c>
      <c r="H18" s="1">
        <v>3.0</v>
      </c>
      <c r="I18" s="1">
        <v>0.0</v>
      </c>
      <c r="J18" s="1">
        <v>0.0</v>
      </c>
      <c r="K18" s="1">
        <v>0.0</v>
      </c>
      <c r="L18" s="1">
        <v>0.0</v>
      </c>
      <c r="M18" s="1">
        <v>3.0</v>
      </c>
      <c r="N18" s="1">
        <v>0.0</v>
      </c>
      <c r="O18" s="1">
        <v>0.0</v>
      </c>
      <c r="P18" s="1">
        <v>0.0</v>
      </c>
      <c r="Q18" s="1">
        <v>0.0</v>
      </c>
      <c r="R18" s="1">
        <v>3.0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3.0</v>
      </c>
      <c r="AA18" s="1">
        <v>0.0</v>
      </c>
      <c r="AB18" s="1">
        <v>3.0</v>
      </c>
      <c r="AC18" s="1">
        <v>0.0</v>
      </c>
      <c r="AD18" s="1">
        <v>3.0</v>
      </c>
      <c r="AE18" s="1">
        <v>3.0</v>
      </c>
      <c r="AF18" s="1">
        <v>3.0</v>
      </c>
      <c r="AG18" s="1">
        <v>3.0</v>
      </c>
      <c r="AH18" s="1">
        <v>0.0</v>
      </c>
      <c r="AI18" s="1">
        <v>0.0</v>
      </c>
      <c r="AJ18" s="1">
        <v>3.0</v>
      </c>
      <c r="AK18" s="1">
        <v>3.0</v>
      </c>
      <c r="AL18" s="1">
        <v>0.0</v>
      </c>
      <c r="AM18" s="1">
        <v>3.0</v>
      </c>
      <c r="AN18" s="1">
        <v>0.0</v>
      </c>
      <c r="AO18" s="1">
        <v>3.0</v>
      </c>
      <c r="AP18" s="1">
        <v>0.0</v>
      </c>
      <c r="AQ18" s="1">
        <v>0.0</v>
      </c>
      <c r="AR18" s="1">
        <v>0.0</v>
      </c>
      <c r="AS18" s="1">
        <v>0.0</v>
      </c>
      <c r="AT18" s="1">
        <v>3.0</v>
      </c>
      <c r="AU18" s="1">
        <v>0.0</v>
      </c>
      <c r="AV18" s="1">
        <v>3.0</v>
      </c>
      <c r="AW18" s="1">
        <v>0.0</v>
      </c>
    </row>
    <row r="19" ht="15.75" customHeight="1">
      <c r="A19" s="1" t="s">
        <v>35</v>
      </c>
      <c r="B19" s="1"/>
      <c r="C19" s="1"/>
      <c r="D19" s="1"/>
      <c r="E19" s="1"/>
      <c r="F19" s="1">
        <v>2000.0</v>
      </c>
      <c r="G19" s="1">
        <v>1004.0</v>
      </c>
      <c r="H19" s="1">
        <v>1021.0</v>
      </c>
      <c r="I19" s="1">
        <v>1000.0</v>
      </c>
      <c r="J19" s="1">
        <v>1005.0</v>
      </c>
      <c r="K19" s="1">
        <v>2052.0</v>
      </c>
      <c r="L19" s="1">
        <v>1009.0</v>
      </c>
      <c r="M19" s="1">
        <v>1000.0</v>
      </c>
      <c r="N19" s="1">
        <v>3004.0</v>
      </c>
      <c r="O19" s="1">
        <v>1452.0</v>
      </c>
      <c r="P19" s="1">
        <v>1004.0</v>
      </c>
      <c r="Q19" s="1">
        <v>1000.0</v>
      </c>
      <c r="R19" s="1">
        <v>1028.0</v>
      </c>
      <c r="S19" s="1">
        <v>1002.0</v>
      </c>
      <c r="T19" s="1">
        <v>1000.0</v>
      </c>
      <c r="U19" s="1">
        <v>1007.0</v>
      </c>
      <c r="V19" s="1">
        <v>4014.0</v>
      </c>
      <c r="W19" s="1">
        <v>3004.0</v>
      </c>
      <c r="X19" s="1">
        <v>1012.0</v>
      </c>
      <c r="Y19" s="1">
        <v>1013.0</v>
      </c>
      <c r="Z19" s="1">
        <v>1006.0</v>
      </c>
      <c r="AA19" s="1">
        <v>1011.0</v>
      </c>
      <c r="AB19" s="1">
        <v>1005.0</v>
      </c>
      <c r="AC19" s="1">
        <v>1015.0</v>
      </c>
      <c r="AD19" s="1">
        <v>1002.0</v>
      </c>
      <c r="AE19" s="1">
        <v>1004.0</v>
      </c>
      <c r="AF19" s="1">
        <v>1009.0</v>
      </c>
      <c r="AG19" s="1">
        <v>1002.0</v>
      </c>
      <c r="AH19" s="1">
        <v>3037.0</v>
      </c>
      <c r="AI19" s="1">
        <v>1021.0</v>
      </c>
      <c r="AJ19" s="1">
        <v>1001.0</v>
      </c>
      <c r="AK19" s="1">
        <v>2013.0</v>
      </c>
      <c r="AL19" s="1">
        <v>3004.0</v>
      </c>
      <c r="AM19" s="1">
        <v>2013.0</v>
      </c>
      <c r="AN19" s="1">
        <v>1008.0</v>
      </c>
      <c r="AO19" s="1">
        <v>1000.0</v>
      </c>
      <c r="AP19" s="1">
        <v>1000.0</v>
      </c>
      <c r="AQ19" s="1">
        <v>1006.0</v>
      </c>
      <c r="AR19" s="1">
        <v>1008.0</v>
      </c>
      <c r="AS19" s="1">
        <v>2022.0</v>
      </c>
      <c r="AT19" s="1">
        <v>2003.0</v>
      </c>
      <c r="AU19" s="1">
        <v>2057.0</v>
      </c>
      <c r="AV19" s="1">
        <v>1868.0</v>
      </c>
      <c r="AW19" s="1">
        <v>1000.0</v>
      </c>
    </row>
    <row r="20" ht="15.75" customHeight="1">
      <c r="A20" s="1" t="s">
        <v>36</v>
      </c>
      <c r="B20" s="1"/>
      <c r="C20" s="1"/>
      <c r="D20" s="1"/>
      <c r="E20" s="1"/>
      <c r="F20" s="1" t="s">
        <v>79</v>
      </c>
      <c r="G20" s="1" t="s">
        <v>80</v>
      </c>
      <c r="H20" s="1" t="s">
        <v>80</v>
      </c>
      <c r="I20" s="1" t="s">
        <v>80</v>
      </c>
      <c r="J20" s="1" t="s">
        <v>80</v>
      </c>
      <c r="K20" s="1" t="s">
        <v>79</v>
      </c>
      <c r="L20" s="1" t="s">
        <v>80</v>
      </c>
      <c r="M20" s="1" t="s">
        <v>80</v>
      </c>
      <c r="N20" s="1" t="s">
        <v>81</v>
      </c>
      <c r="O20" s="1" t="s">
        <v>82</v>
      </c>
      <c r="P20" s="1" t="s">
        <v>80</v>
      </c>
      <c r="Q20" s="1" t="s">
        <v>80</v>
      </c>
      <c r="R20" s="1" t="s">
        <v>80</v>
      </c>
      <c r="S20" s="1" t="s">
        <v>80</v>
      </c>
      <c r="T20" s="1" t="s">
        <v>80</v>
      </c>
      <c r="U20" s="1" t="s">
        <v>80</v>
      </c>
      <c r="V20" s="1" t="s">
        <v>83</v>
      </c>
      <c r="W20" s="1" t="s">
        <v>81</v>
      </c>
      <c r="X20" s="1" t="s">
        <v>80</v>
      </c>
      <c r="Y20" s="1" t="s">
        <v>80</v>
      </c>
      <c r="Z20" s="1" t="s">
        <v>80</v>
      </c>
      <c r="AA20" s="1" t="s">
        <v>80</v>
      </c>
      <c r="AB20" s="1" t="s">
        <v>80</v>
      </c>
      <c r="AC20" s="1" t="s">
        <v>80</v>
      </c>
      <c r="AD20" s="1" t="s">
        <v>80</v>
      </c>
      <c r="AE20" s="1" t="s">
        <v>80</v>
      </c>
      <c r="AF20" s="1" t="s">
        <v>80</v>
      </c>
      <c r="AG20" s="1" t="s">
        <v>80</v>
      </c>
      <c r="AH20" s="1" t="s">
        <v>81</v>
      </c>
      <c r="AI20" s="1" t="s">
        <v>80</v>
      </c>
      <c r="AJ20" s="1" t="s">
        <v>80</v>
      </c>
      <c r="AK20" s="1" t="s">
        <v>84</v>
      </c>
      <c r="AL20" s="1" t="s">
        <v>81</v>
      </c>
      <c r="AM20" s="1" t="s">
        <v>84</v>
      </c>
      <c r="AN20" s="1" t="s">
        <v>80</v>
      </c>
      <c r="AO20" s="1" t="s">
        <v>80</v>
      </c>
      <c r="AP20" s="1" t="s">
        <v>80</v>
      </c>
      <c r="AQ20" s="1" t="s">
        <v>80</v>
      </c>
      <c r="AR20" s="1" t="s">
        <v>80</v>
      </c>
      <c r="AS20" s="1" t="s">
        <v>84</v>
      </c>
      <c r="AT20" s="1" t="s">
        <v>84</v>
      </c>
      <c r="AU20" s="1" t="s">
        <v>84</v>
      </c>
      <c r="AV20" s="1" t="s">
        <v>85</v>
      </c>
      <c r="AW20" s="1" t="s">
        <v>80</v>
      </c>
    </row>
    <row r="21" ht="15.75" customHeight="1"/>
    <row r="22" ht="15.75" customHeight="1">
      <c r="A22" s="4" t="s">
        <v>86</v>
      </c>
      <c r="F22" s="1" t="str">
        <f t="shared" ref="F22:AW22" si="3">0.2*SQRT(F3) + 134.6 / SQRT(F19)</f>
        <v>3.702567821</v>
      </c>
      <c r="G22" s="1" t="str">
        <f t="shared" si="3"/>
        <v>4.926171331</v>
      </c>
      <c r="H22" s="1" t="str">
        <f t="shared" si="3"/>
        <v>4.875750029</v>
      </c>
      <c r="I22" s="1" t="str">
        <f t="shared" si="3"/>
        <v>4.934658729</v>
      </c>
      <c r="J22" s="1" t="str">
        <f t="shared" si="3"/>
        <v>4.924057403</v>
      </c>
      <c r="K22" s="1" t="str">
        <f t="shared" si="3"/>
        <v>3.649600586</v>
      </c>
      <c r="L22" s="1" t="str">
        <f t="shared" si="3"/>
        <v>4.885474211</v>
      </c>
      <c r="M22" s="1" t="str">
        <f t="shared" si="3"/>
        <v>4.949246054</v>
      </c>
      <c r="N22" s="1" t="str">
        <f t="shared" si="3"/>
        <v>3.119136837</v>
      </c>
      <c r="O22" s="1" t="str">
        <f t="shared" si="3"/>
        <v>4.18040799</v>
      </c>
      <c r="P22" s="1" t="str">
        <f t="shared" si="3"/>
        <v>4.864379733</v>
      </c>
      <c r="Q22" s="1" t="str">
        <f t="shared" si="3"/>
        <v>4.919750689</v>
      </c>
      <c r="R22" s="1" t="str">
        <f t="shared" si="3"/>
        <v>4.798058658</v>
      </c>
      <c r="S22" s="1" t="str">
        <f t="shared" si="3"/>
        <v>4.852175679</v>
      </c>
      <c r="T22" s="1" t="str">
        <f t="shared" si="3"/>
        <v>4.83952092</v>
      </c>
      <c r="U22" s="1" t="str">
        <f t="shared" si="3"/>
        <v>4.824701188</v>
      </c>
      <c r="V22" s="1" t="str">
        <f t="shared" si="3"/>
        <v>2.740939641</v>
      </c>
      <c r="W22" s="1" t="str">
        <f t="shared" si="3"/>
        <v>3.072253279</v>
      </c>
      <c r="X22" s="1" t="str">
        <f t="shared" si="3"/>
        <v>4.814209938</v>
      </c>
      <c r="Y22" s="1" t="str">
        <f t="shared" si="3"/>
        <v>4.812121014</v>
      </c>
      <c r="Z22" s="1" t="str">
        <f t="shared" si="3"/>
        <v>4.826808819</v>
      </c>
      <c r="AA22" s="1" t="str">
        <f t="shared" si="3"/>
        <v>4.780929328</v>
      </c>
      <c r="AB22" s="1" t="str">
        <f t="shared" si="3"/>
        <v>4.828919594</v>
      </c>
      <c r="AC22" s="1" t="str">
        <f t="shared" si="3"/>
        <v>4.7725798</v>
      </c>
      <c r="AD22" s="1" t="str">
        <f t="shared" si="3"/>
        <v>4.799898236</v>
      </c>
      <c r="AE22" s="1" t="str">
        <f t="shared" si="3"/>
        <v>4.79566089</v>
      </c>
      <c r="AF22" s="1" t="str">
        <f t="shared" si="3"/>
        <v>4.785122699</v>
      </c>
      <c r="AG22" s="1" t="str">
        <f t="shared" si="3"/>
        <v>4.817861104</v>
      </c>
      <c r="AH22" s="1" t="str">
        <f t="shared" si="3"/>
        <v>3.008118452</v>
      </c>
      <c r="AI22" s="1" t="str">
        <f t="shared" si="3"/>
        <v>4.760147628</v>
      </c>
      <c r="AJ22" s="1" t="str">
        <f t="shared" si="3"/>
        <v>4.783449375</v>
      </c>
      <c r="AK22" s="1" t="str">
        <f t="shared" si="3"/>
        <v>3.529163509</v>
      </c>
      <c r="AL22" s="1" t="str">
        <f t="shared" si="3"/>
        <v>3.003534436</v>
      </c>
      <c r="AM22" s="1" t="str">
        <f t="shared" si="3"/>
        <v>3.565698672</v>
      </c>
      <c r="AN22" s="1" t="str">
        <f t="shared" si="3"/>
        <v>4.787224063</v>
      </c>
      <c r="AO22" s="1" t="str">
        <f t="shared" si="3"/>
        <v>4.804148288</v>
      </c>
      <c r="AP22" s="1" t="str">
        <f t="shared" si="3"/>
        <v>4.804148288</v>
      </c>
      <c r="AQ22" s="1" t="str">
        <f t="shared" si="3"/>
        <v>4.791436187</v>
      </c>
      <c r="AR22" s="1" t="str">
        <f t="shared" si="3"/>
        <v>4.787224063</v>
      </c>
      <c r="AS22" s="1" t="str">
        <f t="shared" si="3"/>
        <v>3.522479476</v>
      </c>
      <c r="AT22" s="1" t="str">
        <f t="shared" si="3"/>
        <v>3.555215281</v>
      </c>
      <c r="AU22" s="1" t="str">
        <f t="shared" si="3"/>
        <v>3.674860884</v>
      </c>
      <c r="AV22" s="1" t="str">
        <f t="shared" si="3"/>
        <v>3.730713994</v>
      </c>
      <c r="AW22" s="1" t="str">
        <f t="shared" si="3"/>
        <v>4.680689799</v>
      </c>
    </row>
    <row r="23" ht="15.75" customHeight="1">
      <c r="A23" s="4" t="s">
        <v>87</v>
      </c>
      <c r="B23" s="4"/>
      <c r="C23" s="4"/>
      <c r="D23" s="4"/>
      <c r="E23" s="4"/>
      <c r="F23" s="4" t="str">
        <f t="shared" ref="F23:AW23" si="4">F5-F22</f>
        <v>-2.902567821</v>
      </c>
      <c r="G23" s="4" t="str">
        <f t="shared" si="4"/>
        <v>-0.6261713312</v>
      </c>
      <c r="H23" s="4" t="str">
        <f t="shared" si="4"/>
        <v>-4.475750029</v>
      </c>
      <c r="I23" s="4" t="str">
        <f t="shared" si="4"/>
        <v>-3.934658729</v>
      </c>
      <c r="J23" s="4" t="str">
        <f t="shared" si="4"/>
        <v>3.575942597</v>
      </c>
      <c r="K23" s="4" t="str">
        <f t="shared" si="4"/>
        <v>-1.949600586</v>
      </c>
      <c r="L23" s="4" t="str">
        <f t="shared" si="4"/>
        <v>-0.5854742115</v>
      </c>
      <c r="M23" s="4" t="str">
        <f t="shared" si="4"/>
        <v>-4.249246054</v>
      </c>
      <c r="N23" s="4" t="str">
        <f t="shared" si="4"/>
        <v>-0.8191368369</v>
      </c>
      <c r="O23" s="4" t="str">
        <f t="shared" si="4"/>
        <v>-2.78040799</v>
      </c>
      <c r="P23" s="4" t="str">
        <f t="shared" si="4"/>
        <v>-4.764379733</v>
      </c>
      <c r="Q23" s="4" t="str">
        <f t="shared" si="4"/>
        <v>-0.4197506887</v>
      </c>
      <c r="R23" s="4" t="str">
        <f t="shared" si="4"/>
        <v>4.401941342</v>
      </c>
      <c r="S23" s="4" t="str">
        <f t="shared" si="4"/>
        <v>-2.352175679</v>
      </c>
      <c r="T23" s="4" t="str">
        <f t="shared" si="4"/>
        <v>-3.93952092</v>
      </c>
      <c r="U23" s="4" t="str">
        <f t="shared" si="4"/>
        <v>-2.824701188</v>
      </c>
      <c r="V23" s="4" t="str">
        <f t="shared" si="4"/>
        <v>0.4590603589</v>
      </c>
      <c r="W23" s="4" t="str">
        <f t="shared" si="4"/>
        <v>-0.9722532791</v>
      </c>
      <c r="X23" s="4" t="str">
        <f t="shared" si="4"/>
        <v>0.6857900619</v>
      </c>
      <c r="Y23" s="4" t="str">
        <f t="shared" si="4"/>
        <v>-2.812121014</v>
      </c>
      <c r="Z23" s="4" t="str">
        <f t="shared" si="4"/>
        <v>0.07319118118</v>
      </c>
      <c r="AA23" s="4" t="str">
        <f t="shared" si="4"/>
        <v>0.01907067164</v>
      </c>
      <c r="AB23" s="4" t="str">
        <f t="shared" si="4"/>
        <v>-4.228919594</v>
      </c>
      <c r="AC23" s="4" t="str">
        <f t="shared" si="4"/>
        <v>-3.7725798</v>
      </c>
      <c r="AD23" s="4" t="str">
        <f t="shared" si="4"/>
        <v>-3.799898236</v>
      </c>
      <c r="AE23" s="4" t="str">
        <f t="shared" si="4"/>
        <v>-0.8956608904</v>
      </c>
      <c r="AF23" s="4" t="str">
        <f t="shared" si="4"/>
        <v>0.7148773009</v>
      </c>
      <c r="AG23" s="4" t="str">
        <f t="shared" si="4"/>
        <v>-4.617861104</v>
      </c>
      <c r="AH23" s="4" t="str">
        <f t="shared" si="4"/>
        <v>0.6918815481</v>
      </c>
      <c r="AI23" s="4" t="str">
        <f t="shared" si="4"/>
        <v>-2.860147628</v>
      </c>
      <c r="AJ23" s="4" t="str">
        <f t="shared" si="4"/>
        <v>-3.683449375</v>
      </c>
      <c r="AK23" s="4" t="str">
        <f t="shared" si="4"/>
        <v>-1.029163509</v>
      </c>
      <c r="AL23" s="4" t="str">
        <f t="shared" si="4"/>
        <v>1.896465564</v>
      </c>
      <c r="AM23" s="4" t="str">
        <f t="shared" si="4"/>
        <v>-2.765698672</v>
      </c>
      <c r="AN23" s="4" t="str">
        <f t="shared" si="4"/>
        <v>-3.187224063</v>
      </c>
      <c r="AO23" s="4" t="str">
        <f t="shared" si="4"/>
        <v>-2.004148288</v>
      </c>
      <c r="AP23" s="4" t="str">
        <f t="shared" si="4"/>
        <v>0.3958517119</v>
      </c>
      <c r="AQ23" s="4" t="str">
        <f t="shared" si="4"/>
        <v>-4.691436187</v>
      </c>
      <c r="AR23" s="4" t="str">
        <f t="shared" si="4"/>
        <v>-2.887224063</v>
      </c>
      <c r="AS23" s="4" t="str">
        <f t="shared" si="4"/>
        <v>-0.522479476</v>
      </c>
      <c r="AT23" s="4" t="str">
        <f t="shared" si="4"/>
        <v>0.6447847191</v>
      </c>
      <c r="AU23" s="4" t="str">
        <f t="shared" si="4"/>
        <v>2.925139116</v>
      </c>
      <c r="AV23" s="4" t="str">
        <f t="shared" si="4"/>
        <v>2.169286006</v>
      </c>
      <c r="AW23" s="4" t="str">
        <f t="shared" si="4"/>
        <v>-3.380689799</v>
      </c>
    </row>
    <row r="24" ht="15.75" customHeight="1">
      <c r="A24" s="4" t="s">
        <v>88</v>
      </c>
      <c r="B24" s="4"/>
      <c r="C24" s="4"/>
      <c r="D24" s="4"/>
      <c r="E24" s="4"/>
      <c r="F24" s="4" t="str">
        <f t="shared" ref="F24:AW24" si="5">F6</f>
        <v>0.8</v>
      </c>
      <c r="G24" s="4" t="str">
        <f t="shared" si="5"/>
        <v>-4.3</v>
      </c>
      <c r="H24" s="4" t="str">
        <f t="shared" si="5"/>
        <v>0.4</v>
      </c>
      <c r="I24" s="4" t="str">
        <f t="shared" si="5"/>
        <v>-1</v>
      </c>
      <c r="J24" s="4" t="str">
        <f t="shared" si="5"/>
        <v>8.5</v>
      </c>
      <c r="K24" s="4" t="str">
        <f t="shared" si="5"/>
        <v>-1.7</v>
      </c>
      <c r="L24" s="4" t="str">
        <f t="shared" si="5"/>
        <v>-4.3</v>
      </c>
      <c r="M24" s="4" t="str">
        <f t="shared" si="5"/>
        <v>-0.7</v>
      </c>
      <c r="N24" s="4" t="str">
        <f t="shared" si="5"/>
        <v>-2.3</v>
      </c>
      <c r="O24" s="4" t="str">
        <f t="shared" si="5"/>
        <v>-1.4</v>
      </c>
      <c r="P24" s="4" t="str">
        <f t="shared" si="5"/>
        <v>-0.1</v>
      </c>
      <c r="Q24" s="4" t="str">
        <f t="shared" si="5"/>
        <v>-4.5</v>
      </c>
      <c r="R24" s="4" t="str">
        <f t="shared" si="5"/>
        <v>-9.2</v>
      </c>
      <c r="S24" s="4" t="str">
        <f t="shared" si="5"/>
        <v>-2.5</v>
      </c>
      <c r="T24" s="4" t="str">
        <f t="shared" si="5"/>
        <v>0.9</v>
      </c>
      <c r="U24" s="4" t="str">
        <f t="shared" si="5"/>
        <v>-2</v>
      </c>
      <c r="V24" s="4" t="str">
        <f t="shared" si="5"/>
        <v>-3.2</v>
      </c>
      <c r="W24" s="4" t="str">
        <f t="shared" si="5"/>
        <v>-2.1</v>
      </c>
      <c r="X24" s="4" t="str">
        <f t="shared" si="5"/>
        <v>-5.5</v>
      </c>
      <c r="Y24" s="4" t="str">
        <f t="shared" si="5"/>
        <v>-2</v>
      </c>
      <c r="Z24" s="4" t="str">
        <f t="shared" si="5"/>
        <v>-4.9</v>
      </c>
      <c r="AA24" s="4" t="str">
        <f t="shared" si="5"/>
        <v>-4.8</v>
      </c>
      <c r="AB24" s="4" t="str">
        <f t="shared" si="5"/>
        <v>-0.6</v>
      </c>
      <c r="AC24" s="4" t="str">
        <f t="shared" si="5"/>
        <v>1</v>
      </c>
      <c r="AD24" s="4" t="str">
        <f t="shared" si="5"/>
        <v>-1</v>
      </c>
      <c r="AE24" s="4" t="str">
        <f t="shared" si="5"/>
        <v>-3.9</v>
      </c>
      <c r="AF24" s="4" t="str">
        <f t="shared" si="5"/>
        <v>-5.5</v>
      </c>
      <c r="AG24" s="4" t="str">
        <f t="shared" si="5"/>
        <v>-0.2</v>
      </c>
      <c r="AH24" s="4" t="str">
        <f t="shared" si="5"/>
        <v>-3.7</v>
      </c>
      <c r="AI24" s="4" t="str">
        <f t="shared" si="5"/>
        <v>-1.9</v>
      </c>
      <c r="AJ24" s="4" t="str">
        <f t="shared" si="5"/>
        <v>-1.1</v>
      </c>
      <c r="AK24" s="4" t="str">
        <f t="shared" si="5"/>
        <v>-2.5</v>
      </c>
      <c r="AL24" s="4" t="str">
        <f t="shared" si="5"/>
        <v>-4.9</v>
      </c>
      <c r="AM24" s="4" t="str">
        <f t="shared" si="5"/>
        <v>0.8</v>
      </c>
      <c r="AN24" s="4" t="str">
        <f t="shared" si="5"/>
        <v>-1.6</v>
      </c>
      <c r="AO24" s="4" t="str">
        <f t="shared" si="5"/>
        <v>-2.8</v>
      </c>
      <c r="AP24" s="4" t="str">
        <f t="shared" si="5"/>
        <v>-5.2</v>
      </c>
      <c r="AQ24" s="4" t="str">
        <f t="shared" si="5"/>
        <v>0.1</v>
      </c>
      <c r="AR24" s="4" t="str">
        <f t="shared" si="5"/>
        <v>-1.9</v>
      </c>
      <c r="AS24" s="4" t="str">
        <f t="shared" si="5"/>
        <v>-3</v>
      </c>
      <c r="AT24" s="4" t="str">
        <f t="shared" si="5"/>
        <v>-4.2</v>
      </c>
      <c r="AU24" s="4" t="str">
        <f t="shared" si="5"/>
        <v>-6.6</v>
      </c>
      <c r="AV24" s="4" t="str">
        <f t="shared" si="5"/>
        <v>5.9</v>
      </c>
      <c r="AW24" s="4" t="str">
        <f t="shared" si="5"/>
        <v>1.3</v>
      </c>
    </row>
    <row r="25" ht="15.75" customHeight="1">
      <c r="A25" s="1" t="s">
        <v>89</v>
      </c>
      <c r="F25" s="1" t="str">
        <f t="shared" ref="F25:AW25" si="6">SQRT(F19)</f>
        <v>44.72135955</v>
      </c>
      <c r="G25" s="1" t="str">
        <f t="shared" si="6"/>
        <v>31.68595904</v>
      </c>
      <c r="H25" s="1" t="str">
        <f t="shared" si="6"/>
        <v>31.95309062</v>
      </c>
      <c r="I25" s="1" t="str">
        <f t="shared" si="6"/>
        <v>31.6227766</v>
      </c>
      <c r="J25" s="1" t="str">
        <f t="shared" si="6"/>
        <v>31.70173497</v>
      </c>
      <c r="K25" s="1" t="str">
        <f t="shared" si="6"/>
        <v>45.29900661</v>
      </c>
      <c r="L25" s="1" t="str">
        <f t="shared" si="6"/>
        <v>31.76476035</v>
      </c>
      <c r="M25" s="1" t="str">
        <f t="shared" si="6"/>
        <v>31.6227766</v>
      </c>
      <c r="N25" s="1" t="str">
        <f t="shared" si="6"/>
        <v>54.80875842</v>
      </c>
      <c r="O25" s="1" t="str">
        <f t="shared" si="6"/>
        <v>38.10511777</v>
      </c>
      <c r="P25" s="1" t="str">
        <f t="shared" si="6"/>
        <v>31.68595904</v>
      </c>
      <c r="Q25" s="1" t="str">
        <f t="shared" si="6"/>
        <v>31.6227766</v>
      </c>
      <c r="R25" s="1" t="str">
        <f t="shared" si="6"/>
        <v>32.06243908</v>
      </c>
      <c r="S25" s="1" t="str">
        <f t="shared" si="6"/>
        <v>31.65438358</v>
      </c>
      <c r="T25" s="1" t="str">
        <f t="shared" si="6"/>
        <v>31.6227766</v>
      </c>
      <c r="U25" s="1" t="str">
        <f t="shared" si="6"/>
        <v>31.73326331</v>
      </c>
      <c r="V25" s="1" t="str">
        <f t="shared" si="6"/>
        <v>63.35613625</v>
      </c>
      <c r="W25" s="1" t="str">
        <f t="shared" si="6"/>
        <v>54.80875842</v>
      </c>
      <c r="X25" s="1" t="str">
        <f t="shared" si="6"/>
        <v>31.81194744</v>
      </c>
      <c r="Y25" s="1" t="str">
        <f t="shared" si="6"/>
        <v>31.82766093</v>
      </c>
      <c r="Z25" s="1" t="str">
        <f t="shared" si="6"/>
        <v>31.71750305</v>
      </c>
      <c r="AA25" s="1" t="str">
        <f t="shared" si="6"/>
        <v>31.79622619</v>
      </c>
      <c r="AB25" s="1" t="str">
        <f t="shared" si="6"/>
        <v>31.70173497</v>
      </c>
      <c r="AC25" s="1" t="str">
        <f t="shared" si="6"/>
        <v>31.85906464</v>
      </c>
      <c r="AD25" s="1" t="str">
        <f t="shared" si="6"/>
        <v>31.65438358</v>
      </c>
      <c r="AE25" s="1" t="str">
        <f t="shared" si="6"/>
        <v>31.68595904</v>
      </c>
      <c r="AF25" s="1" t="str">
        <f t="shared" si="6"/>
        <v>31.76476035</v>
      </c>
      <c r="AG25" s="1" t="str">
        <f t="shared" si="6"/>
        <v>31.65438358</v>
      </c>
      <c r="AH25" s="1" t="str">
        <f t="shared" si="6"/>
        <v>55.10898293</v>
      </c>
      <c r="AI25" s="1" t="str">
        <f t="shared" si="6"/>
        <v>31.95309062</v>
      </c>
      <c r="AJ25" s="1" t="str">
        <f t="shared" si="6"/>
        <v>31.63858404</v>
      </c>
      <c r="AK25" s="1" t="str">
        <f t="shared" si="6"/>
        <v>44.86646855</v>
      </c>
      <c r="AL25" s="1" t="str">
        <f t="shared" si="6"/>
        <v>54.80875842</v>
      </c>
      <c r="AM25" s="1" t="str">
        <f t="shared" si="6"/>
        <v>44.86646855</v>
      </c>
      <c r="AN25" s="1" t="str">
        <f t="shared" si="6"/>
        <v>31.74901573</v>
      </c>
      <c r="AO25" s="1" t="str">
        <f t="shared" si="6"/>
        <v>31.6227766</v>
      </c>
      <c r="AP25" s="1" t="str">
        <f t="shared" si="6"/>
        <v>31.6227766</v>
      </c>
      <c r="AQ25" s="1" t="str">
        <f t="shared" si="6"/>
        <v>31.71750305</v>
      </c>
      <c r="AR25" s="1" t="str">
        <f t="shared" si="6"/>
        <v>31.74901573</v>
      </c>
      <c r="AS25" s="1" t="str">
        <f t="shared" si="6"/>
        <v>44.96665431</v>
      </c>
      <c r="AT25" s="1" t="str">
        <f t="shared" si="6"/>
        <v>44.754888</v>
      </c>
      <c r="AU25" s="1" t="str">
        <f t="shared" si="6"/>
        <v>45.35416188</v>
      </c>
      <c r="AV25" s="1" t="str">
        <f t="shared" si="6"/>
        <v>43.22036557</v>
      </c>
      <c r="AW25" s="1" t="str">
        <f t="shared" si="6"/>
        <v>31.6227766</v>
      </c>
    </row>
    <row r="26" ht="15.75" customHeight="1">
      <c r="A26" s="1" t="s">
        <v>90</v>
      </c>
      <c r="F26" s="1" t="str">
        <f t="shared" ref="F26:AW26" si="7">F23*F25</f>
        <v>-129.8067791</v>
      </c>
      <c r="G26" s="1" t="str">
        <f t="shared" si="7"/>
        <v>-19.84083915</v>
      </c>
      <c r="H26" s="1" t="str">
        <f t="shared" si="7"/>
        <v>-143.0140462</v>
      </c>
      <c r="I26" s="1" t="str">
        <f t="shared" si="7"/>
        <v>-124.424834</v>
      </c>
      <c r="J26" s="1" t="str">
        <f t="shared" si="7"/>
        <v>113.3635845</v>
      </c>
      <c r="K26" s="1" t="str">
        <f t="shared" si="7"/>
        <v>-88.31496984</v>
      </c>
      <c r="L26" s="1" t="str">
        <f t="shared" si="7"/>
        <v>-18.59744802</v>
      </c>
      <c r="M26" s="1" t="str">
        <f t="shared" si="7"/>
        <v>-134.3729587</v>
      </c>
      <c r="N26" s="1" t="str">
        <f t="shared" si="7"/>
        <v>-44.89587301</v>
      </c>
      <c r="O26" s="1" t="str">
        <f t="shared" si="7"/>
        <v>-105.9477739</v>
      </c>
      <c r="P26" s="1" t="str">
        <f t="shared" si="7"/>
        <v>-150.9639411</v>
      </c>
      <c r="Q26" s="1" t="str">
        <f t="shared" si="7"/>
        <v>-13.27368226</v>
      </c>
      <c r="R26" s="1" t="str">
        <f t="shared" si="7"/>
        <v>141.1369761</v>
      </c>
      <c r="S26" s="1" t="str">
        <f t="shared" si="7"/>
        <v>-74.45667119</v>
      </c>
      <c r="T26" s="1" t="str">
        <f t="shared" si="7"/>
        <v>-124.57859</v>
      </c>
      <c r="U26" s="1" t="str">
        <f t="shared" si="7"/>
        <v>-89.63698657</v>
      </c>
      <c r="V26" s="1" t="str">
        <f t="shared" si="7"/>
        <v>29.08429064</v>
      </c>
      <c r="W26" s="1" t="str">
        <f t="shared" si="7"/>
        <v>-53.2879951</v>
      </c>
      <c r="X26" s="1" t="str">
        <f t="shared" si="7"/>
        <v>21.81631741</v>
      </c>
      <c r="Y26" s="1" t="str">
        <f t="shared" si="7"/>
        <v>-89.50323413</v>
      </c>
      <c r="Z26" s="1" t="str">
        <f t="shared" si="7"/>
        <v>2.321441513</v>
      </c>
      <c r="AA26" s="1" t="str">
        <f t="shared" si="7"/>
        <v>0.6063753892</v>
      </c>
      <c r="AB26" s="1" t="str">
        <f t="shared" si="7"/>
        <v>-134.0640882</v>
      </c>
      <c r="AC26" s="1" t="str">
        <f t="shared" si="7"/>
        <v>-120.1908637</v>
      </c>
      <c r="AD26" s="1" t="str">
        <f t="shared" si="7"/>
        <v>-120.2834363</v>
      </c>
      <c r="AE26" s="1" t="str">
        <f t="shared" si="7"/>
        <v>-28.37987428</v>
      </c>
      <c r="AF26" s="1" t="str">
        <f t="shared" si="7"/>
        <v>22.70790614</v>
      </c>
      <c r="AG26" s="1" t="str">
        <f t="shared" si="7"/>
        <v>-146.1755467</v>
      </c>
      <c r="AH26" s="1" t="str">
        <f t="shared" si="7"/>
        <v>38.12888843</v>
      </c>
      <c r="AI26" s="1" t="str">
        <f t="shared" si="7"/>
        <v>-91.39055634</v>
      </c>
      <c r="AJ26" s="1" t="str">
        <f t="shared" si="7"/>
        <v>-116.5391226</v>
      </c>
      <c r="AK26" s="1" t="str">
        <f t="shared" si="7"/>
        <v>-46.17493223</v>
      </c>
      <c r="AL26" s="1" t="str">
        <f t="shared" si="7"/>
        <v>103.9429229</v>
      </c>
      <c r="AM26" s="1" t="str">
        <f t="shared" si="7"/>
        <v>-124.0871325</v>
      </c>
      <c r="AN26" s="1" t="str">
        <f t="shared" si="7"/>
        <v>-101.1912269</v>
      </c>
      <c r="AO26" s="1" t="str">
        <f t="shared" si="7"/>
        <v>-63.37673359</v>
      </c>
      <c r="AP26" s="1" t="str">
        <f t="shared" si="7"/>
        <v>12.51793025</v>
      </c>
      <c r="AQ26" s="1" t="str">
        <f t="shared" si="7"/>
        <v>-148.8006416</v>
      </c>
      <c r="AR26" s="1" t="str">
        <f t="shared" si="7"/>
        <v>-91.6665222</v>
      </c>
      <c r="AS26" s="1" t="str">
        <f t="shared" si="7"/>
        <v>-23.49415398</v>
      </c>
      <c r="AT26" s="1" t="str">
        <f t="shared" si="7"/>
        <v>28.85726789</v>
      </c>
      <c r="AU26" s="1" t="str">
        <f t="shared" si="7"/>
        <v>132.667233</v>
      </c>
      <c r="AV26" s="1" t="str">
        <f t="shared" si="7"/>
        <v>93.75733419</v>
      </c>
      <c r="AW26" s="1" t="str">
        <f t="shared" si="7"/>
        <v>-106.9067983</v>
      </c>
    </row>
    <row r="27" ht="15.75" customHeight="1">
      <c r="A27" s="1" t="s">
        <v>91</v>
      </c>
      <c r="F27" s="9" t="str">
        <f>SUM(F26:AW26)/SUM(F25:AW25)</f>
        <v>-1.3040</v>
      </c>
    </row>
    <row r="28" ht="15.75" customHeight="1">
      <c r="A28" s="1" t="s">
        <v>52</v>
      </c>
      <c r="F28" s="1" t="str">
        <f t="shared" ref="F28:AW28" si="8">F24*F25</f>
        <v>35.77708764</v>
      </c>
      <c r="G28" s="1" t="str">
        <f t="shared" si="8"/>
        <v>-136.2496239</v>
      </c>
      <c r="H28" s="1" t="str">
        <f t="shared" si="8"/>
        <v>12.78123625</v>
      </c>
      <c r="I28" s="1" t="str">
        <f t="shared" si="8"/>
        <v>-31.6227766</v>
      </c>
      <c r="J28" s="1" t="str">
        <f t="shared" si="8"/>
        <v>269.4647472</v>
      </c>
      <c r="K28" s="1" t="str">
        <f t="shared" si="8"/>
        <v>-77.00831124</v>
      </c>
      <c r="L28" s="1" t="str">
        <f t="shared" si="8"/>
        <v>-136.5884695</v>
      </c>
      <c r="M28" s="1" t="str">
        <f t="shared" si="8"/>
        <v>-22.13594362</v>
      </c>
      <c r="N28" s="1" t="str">
        <f t="shared" si="8"/>
        <v>-126.0601444</v>
      </c>
      <c r="O28" s="1" t="str">
        <f t="shared" si="8"/>
        <v>-53.34716487</v>
      </c>
      <c r="P28" s="1" t="str">
        <f t="shared" si="8"/>
        <v>-3.168595904</v>
      </c>
      <c r="Q28" s="1" t="str">
        <f t="shared" si="8"/>
        <v>-142.3024947</v>
      </c>
      <c r="R28" s="1" t="str">
        <f t="shared" si="8"/>
        <v>-294.9744396</v>
      </c>
      <c r="S28" s="1" t="str">
        <f t="shared" si="8"/>
        <v>-79.13595896</v>
      </c>
      <c r="T28" s="1" t="str">
        <f t="shared" si="8"/>
        <v>28.46049894</v>
      </c>
      <c r="U28" s="1" t="str">
        <f t="shared" si="8"/>
        <v>-63.46652661</v>
      </c>
      <c r="V28" s="1" t="str">
        <f t="shared" si="8"/>
        <v>-202.739636</v>
      </c>
      <c r="W28" s="1" t="str">
        <f t="shared" si="8"/>
        <v>-115.0983927</v>
      </c>
      <c r="X28" s="1" t="str">
        <f t="shared" si="8"/>
        <v>-174.9657109</v>
      </c>
      <c r="Y28" s="1" t="str">
        <f t="shared" si="8"/>
        <v>-63.65532185</v>
      </c>
      <c r="Z28" s="1" t="str">
        <f t="shared" si="8"/>
        <v>-155.415765</v>
      </c>
      <c r="AA28" s="1" t="str">
        <f t="shared" si="8"/>
        <v>-152.6218857</v>
      </c>
      <c r="AB28" s="1" t="str">
        <f t="shared" si="8"/>
        <v>-19.02104098</v>
      </c>
      <c r="AC28" s="1" t="str">
        <f t="shared" si="8"/>
        <v>31.85906464</v>
      </c>
      <c r="AD28" s="1" t="str">
        <f t="shared" si="8"/>
        <v>-31.65438358</v>
      </c>
      <c r="AE28" s="1" t="str">
        <f t="shared" si="8"/>
        <v>-123.5752402</v>
      </c>
      <c r="AF28" s="1" t="str">
        <f t="shared" si="8"/>
        <v>-174.7061819</v>
      </c>
      <c r="AG28" s="1" t="str">
        <f t="shared" si="8"/>
        <v>-6.330876717</v>
      </c>
      <c r="AH28" s="1" t="str">
        <f t="shared" si="8"/>
        <v>-203.9032369</v>
      </c>
      <c r="AI28" s="1" t="str">
        <f t="shared" si="8"/>
        <v>-60.71087217</v>
      </c>
      <c r="AJ28" s="1" t="str">
        <f t="shared" si="8"/>
        <v>-34.80244244</v>
      </c>
      <c r="AK28" s="1" t="str">
        <f t="shared" si="8"/>
        <v>-112.1661714</v>
      </c>
      <c r="AL28" s="1" t="str">
        <f t="shared" si="8"/>
        <v>-268.5629163</v>
      </c>
      <c r="AM28" s="1" t="str">
        <f t="shared" si="8"/>
        <v>35.89317484</v>
      </c>
      <c r="AN28" s="1" t="str">
        <f t="shared" si="8"/>
        <v>-50.79842517</v>
      </c>
      <c r="AO28" s="1" t="str">
        <f t="shared" si="8"/>
        <v>-88.54377448</v>
      </c>
      <c r="AP28" s="1" t="str">
        <f t="shared" si="8"/>
        <v>-164.4384383</v>
      </c>
      <c r="AQ28" s="1" t="str">
        <f t="shared" si="8"/>
        <v>3.171750305</v>
      </c>
      <c r="AR28" s="1" t="str">
        <f t="shared" si="8"/>
        <v>-60.32312989</v>
      </c>
      <c r="AS28" s="1" t="str">
        <f t="shared" si="8"/>
        <v>-134.8999629</v>
      </c>
      <c r="AT28" s="1" t="str">
        <f t="shared" si="8"/>
        <v>-187.9705296</v>
      </c>
      <c r="AU28" s="1" t="str">
        <f t="shared" si="8"/>
        <v>-299.3374684</v>
      </c>
      <c r="AV28" s="1" t="str">
        <f t="shared" si="8"/>
        <v>255.0001569</v>
      </c>
      <c r="AW28" s="1" t="str">
        <f t="shared" si="8"/>
        <v>41.10960958</v>
      </c>
    </row>
    <row r="29" ht="15.75" customHeight="1">
      <c r="A29" s="1" t="s">
        <v>92</v>
      </c>
      <c r="F29" s="7" t="str">
        <f>SUM(F28:AW28)/SUM(F25:AW25)</f>
        <v>-2.05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0"/>
      <c r="B1" s="10">
        <v>3734.0</v>
      </c>
      <c r="C1" s="10">
        <v>3747.0</v>
      </c>
      <c r="E1" s="10">
        <v>9093.0</v>
      </c>
      <c r="F1" s="10">
        <v>9098.0</v>
      </c>
    </row>
    <row r="2" ht="15.75" customHeight="1">
      <c r="A2" s="4"/>
      <c r="B2" s="4" t="s">
        <v>10</v>
      </c>
      <c r="C2" s="4" t="s">
        <v>10</v>
      </c>
      <c r="E2" s="4" t="s">
        <v>10</v>
      </c>
      <c r="F2" s="4" t="s">
        <v>10</v>
      </c>
    </row>
    <row r="3" ht="15.75" customHeight="1">
      <c r="A3" s="10"/>
      <c r="B3" s="10">
        <v>8.5</v>
      </c>
      <c r="C3" s="10">
        <v>7.5</v>
      </c>
      <c r="E3" s="10">
        <v>9.5</v>
      </c>
      <c r="F3" s="10">
        <v>8.5</v>
      </c>
    </row>
    <row r="4" ht="15.75" customHeight="1">
      <c r="A4" s="10"/>
      <c r="B4" s="10">
        <v>21.1</v>
      </c>
      <c r="C4" s="10">
        <v>19.2</v>
      </c>
      <c r="E4" s="10">
        <v>2.9</v>
      </c>
      <c r="F4" s="10">
        <v>2.8</v>
      </c>
    </row>
    <row r="5" ht="15.75" customHeight="1">
      <c r="A5" s="10"/>
      <c r="B5" s="10" t="str">
        <f t="shared" ref="B5:C5" si="1">ABS(17.1 - B4)</f>
        <v>4</v>
      </c>
      <c r="C5" s="10" t="str">
        <f t="shared" si="1"/>
        <v>2.1</v>
      </c>
      <c r="E5" s="10" t="str">
        <f t="shared" ref="E5:F5" si="2">ABS(0.8 - E4)</f>
        <v>2.1</v>
      </c>
      <c r="F5" s="10" t="str">
        <f t="shared" si="2"/>
        <v>2</v>
      </c>
    </row>
    <row r="6" ht="15.75" customHeight="1">
      <c r="A6" s="10"/>
      <c r="B6" s="10" t="str">
        <f t="shared" ref="B6:C6" si="3">B4 - 17.1</f>
        <v>4</v>
      </c>
      <c r="C6" s="10" t="str">
        <f t="shared" si="3"/>
        <v>2.1</v>
      </c>
      <c r="E6" s="10" t="str">
        <f t="shared" ref="E6:F6" si="4">0.8 - E4</f>
        <v>-2.1</v>
      </c>
      <c r="F6" s="10" t="str">
        <f t="shared" si="4"/>
        <v>-2</v>
      </c>
    </row>
    <row r="7" ht="15.75" customHeight="1">
      <c r="A7" s="10"/>
      <c r="B7" s="10">
        <v>1.0</v>
      </c>
      <c r="C7" s="10">
        <v>1.0</v>
      </c>
      <c r="E7" s="10">
        <v>1.0</v>
      </c>
      <c r="F7" s="10">
        <v>1.0</v>
      </c>
    </row>
    <row r="8" ht="15.75" customHeight="1">
      <c r="A8" s="10"/>
      <c r="B8" s="10">
        <v>1.0</v>
      </c>
      <c r="C8" s="10">
        <v>1.0</v>
      </c>
      <c r="E8" s="10">
        <v>1.0</v>
      </c>
      <c r="F8" s="10">
        <v>1.0</v>
      </c>
    </row>
    <row r="9" ht="15.75" customHeight="1">
      <c r="A9" s="10"/>
      <c r="B9" s="10">
        <v>1.0</v>
      </c>
      <c r="C9" s="10">
        <v>1.0</v>
      </c>
      <c r="E9" s="10">
        <v>1.0</v>
      </c>
      <c r="F9" s="10">
        <v>1.0</v>
      </c>
    </row>
    <row r="10" ht="15.75" customHeight="1">
      <c r="A10" s="10"/>
      <c r="B10" s="10">
        <v>1.0</v>
      </c>
      <c r="C10" s="10">
        <v>1.0</v>
      </c>
      <c r="E10" s="10">
        <v>1.0</v>
      </c>
      <c r="F10" s="10">
        <v>1.0</v>
      </c>
    </row>
    <row r="11" ht="15.75" customHeight="1">
      <c r="A11" s="10"/>
      <c r="B11" s="10">
        <v>1.0</v>
      </c>
      <c r="C11" s="10">
        <v>1.0</v>
      </c>
      <c r="E11" s="10">
        <v>1.0</v>
      </c>
      <c r="F11" s="10">
        <v>1.0</v>
      </c>
    </row>
    <row r="12" ht="15.75" customHeight="1">
      <c r="A12" s="4"/>
      <c r="B12" s="10">
        <v>1.0</v>
      </c>
      <c r="C12" s="10">
        <v>1.0</v>
      </c>
      <c r="E12" s="10">
        <v>1.0</v>
      </c>
      <c r="F12" s="10">
        <v>1.0</v>
      </c>
    </row>
    <row r="13" ht="15.75" customHeight="1">
      <c r="A13" s="10"/>
      <c r="B13" s="10">
        <v>1.0</v>
      </c>
      <c r="C13" s="10">
        <v>1.0</v>
      </c>
      <c r="E13" s="10">
        <v>1.0</v>
      </c>
      <c r="F13" s="10">
        <v>1.0</v>
      </c>
    </row>
    <row r="14" ht="15.75" customHeight="1">
      <c r="A14" s="10"/>
      <c r="B14" s="10">
        <v>1.0</v>
      </c>
      <c r="C14" s="10">
        <v>1.0</v>
      </c>
      <c r="E14" s="10">
        <v>0.0</v>
      </c>
      <c r="F14" s="10">
        <v>0.0</v>
      </c>
    </row>
    <row r="15" ht="15.75" customHeight="1">
      <c r="A15" s="10"/>
      <c r="B15" s="10">
        <v>0.0</v>
      </c>
      <c r="C15" s="10">
        <v>0.0</v>
      </c>
      <c r="E15" s="10">
        <v>0.0</v>
      </c>
      <c r="F15" s="10">
        <v>0.0</v>
      </c>
    </row>
    <row r="16" ht="15.75" customHeight="1">
      <c r="B16" s="10">
        <v>0.0</v>
      </c>
      <c r="C16" s="10">
        <v>0.0</v>
      </c>
      <c r="E16" s="10">
        <v>0.5</v>
      </c>
      <c r="F16" s="10">
        <v>0.5</v>
      </c>
    </row>
    <row r="17" ht="15.75" customHeight="1">
      <c r="B17" s="4" t="s">
        <v>29</v>
      </c>
      <c r="C17" s="11" t="s">
        <v>28</v>
      </c>
      <c r="E17" s="4" t="s">
        <v>29</v>
      </c>
      <c r="F17" s="4" t="s">
        <v>74</v>
      </c>
      <c r="G17" s="12">
        <v>0.25</v>
      </c>
    </row>
    <row r="18" ht="15.75" customHeight="1">
      <c r="A18" s="10"/>
      <c r="B18" s="10">
        <v>0.0</v>
      </c>
      <c r="C18" s="10">
        <v>0.0</v>
      </c>
      <c r="E18" s="10">
        <v>0.0</v>
      </c>
      <c r="F18" s="10">
        <v>0.0</v>
      </c>
    </row>
    <row r="19" ht="15.75" customHeight="1">
      <c r="A19" s="10"/>
      <c r="B19" s="10">
        <v>1046.0</v>
      </c>
      <c r="C19" s="10">
        <v>1035.0</v>
      </c>
      <c r="E19" s="10">
        <v>3004.0</v>
      </c>
      <c r="F19" s="10">
        <v>1013.0</v>
      </c>
    </row>
    <row r="20" ht="15.75" customHeight="1">
      <c r="A20" s="4"/>
      <c r="B20" s="4" t="s">
        <v>42</v>
      </c>
      <c r="C20" s="4" t="s">
        <v>42</v>
      </c>
      <c r="E20" s="4" t="s">
        <v>81</v>
      </c>
      <c r="F20" s="4" t="s">
        <v>80</v>
      </c>
    </row>
    <row r="21" ht="15.75" customHeight="1">
      <c r="A21" s="4"/>
      <c r="B21" s="13">
        <v>0.03</v>
      </c>
      <c r="C21" s="13">
        <v>0.03</v>
      </c>
      <c r="D21" s="5"/>
      <c r="E21" s="13">
        <v>0.018</v>
      </c>
      <c r="F21" s="13">
        <v>0.031</v>
      </c>
    </row>
    <row r="22" ht="15.75" customHeight="1">
      <c r="A22" s="4" t="s">
        <v>86</v>
      </c>
      <c r="B22" s="4" t="str">
        <f t="shared" ref="B22:C22" si="5">0.2*SQRT(B3) + 134.6 / SQRT(B19)</f>
        <v>4.744876136</v>
      </c>
      <c r="C22" s="4" t="str">
        <f t="shared" si="5"/>
        <v>4.731560797</v>
      </c>
      <c r="D22" s="4"/>
      <c r="E22" s="4" t="str">
        <f t="shared" ref="E22:F22" si="6">0.2*SQRT(E3) + 134.6 / SQRT(E19)</f>
        <v>3.072253279</v>
      </c>
      <c r="F22" s="4" t="str">
        <f t="shared" si="6"/>
        <v>4.812121014</v>
      </c>
    </row>
    <row r="23" ht="15.75" customHeight="1">
      <c r="A23" s="4" t="s">
        <v>87</v>
      </c>
      <c r="B23" s="4" t="str">
        <f t="shared" ref="B23:C23" si="7">B5-B22</f>
        <v>-0.7448761364</v>
      </c>
      <c r="C23" s="4" t="str">
        <f t="shared" si="7"/>
        <v>-2.631560797</v>
      </c>
      <c r="D23" s="4"/>
      <c r="E23" s="4" t="str">
        <f t="shared" ref="E23:F23" si="8">E5-E22</f>
        <v>-0.9722532791</v>
      </c>
      <c r="F23" s="4" t="str">
        <f t="shared" si="8"/>
        <v>-2.812121014</v>
      </c>
    </row>
    <row r="24" ht="15.75" customHeight="1">
      <c r="A24" s="4" t="s">
        <v>88</v>
      </c>
      <c r="B24" s="4" t="str">
        <f t="shared" ref="B24:F24" si="9">B6</f>
        <v>4</v>
      </c>
      <c r="C24" s="4" t="str">
        <f t="shared" si="9"/>
        <v>2.1</v>
      </c>
      <c r="D24" s="4" t="str">
        <f t="shared" si="9"/>
        <v/>
      </c>
      <c r="E24" s="4" t="str">
        <f t="shared" si="9"/>
        <v>-2.1</v>
      </c>
      <c r="F24" s="4" t="str">
        <f t="shared" si="9"/>
        <v>-2</v>
      </c>
    </row>
    <row r="25" ht="15.75" customHeight="1">
      <c r="A25" s="1" t="s">
        <v>89</v>
      </c>
      <c r="B25" s="1" t="str">
        <f t="shared" ref="B25:C25" si="10">0.84^7</f>
        <v>0.2950903466</v>
      </c>
      <c r="C25" s="1" t="str">
        <f t="shared" si="10"/>
        <v>0.2950903466</v>
      </c>
      <c r="E25" s="1" t="str">
        <f t="shared" ref="E25:F25" si="11">0.84^2</f>
        <v>0.7056</v>
      </c>
      <c r="F25" s="1" t="str">
        <f t="shared" si="11"/>
        <v>0.7056</v>
      </c>
    </row>
    <row r="26" ht="15.75" customHeight="1">
      <c r="A26" s="1" t="s">
        <v>93</v>
      </c>
      <c r="B26" s="1" t="str">
        <f t="shared" ref="B26:C26" si="12">B23*B25</f>
        <v>-0.2198057572</v>
      </c>
      <c r="C26" s="1" t="str">
        <f t="shared" si="12"/>
        <v>-0.7765481876</v>
      </c>
      <c r="E26" s="1" t="str">
        <f t="shared" ref="E26:F26" si="13">E23*E25</f>
        <v>-0.6860219137</v>
      </c>
      <c r="F26" s="1" t="str">
        <f t="shared" si="13"/>
        <v>-1.984232588</v>
      </c>
    </row>
    <row r="27" ht="15.75" customHeight="1">
      <c r="A27" s="1" t="s">
        <v>94</v>
      </c>
      <c r="B27" s="1" t="str">
        <f>SUM(B26:K26)/SUM(B25:K25)</f>
        <v>-1.832039481</v>
      </c>
    </row>
    <row r="28" ht="15.75" customHeight="1">
      <c r="A28" s="1" t="s">
        <v>95</v>
      </c>
      <c r="B28" s="1" t="str">
        <f t="shared" ref="B28:C28" si="14">B23-3.49</f>
        <v>-4.234876136</v>
      </c>
      <c r="C28" s="1" t="str">
        <f t="shared" si="14"/>
        <v>-6.121560797</v>
      </c>
      <c r="E28" s="1" t="str">
        <f t="shared" ref="E28:F28" si="15">E23+1.304</f>
        <v>0.3317467209</v>
      </c>
      <c r="F28" s="1" t="str">
        <f t="shared" si="15"/>
        <v>-1.508121014</v>
      </c>
    </row>
    <row r="29" ht="15.75" customHeight="1">
      <c r="A29" s="4" t="s">
        <v>96</v>
      </c>
      <c r="B29" s="4" t="str">
        <f t="shared" ref="B29:C29" si="16">0.8*B28+0.2*B23</f>
        <v>-3.536876136</v>
      </c>
      <c r="C29" s="4" t="str">
        <f t="shared" si="16"/>
        <v>-5.423560797</v>
      </c>
      <c r="D29" s="4"/>
      <c r="E29" s="4" t="str">
        <f t="shared" ref="E29:F29" si="17">0.8*E28+0.2*E23</f>
        <v>0.07094672091</v>
      </c>
      <c r="F29" s="4" t="str">
        <f t="shared" si="17"/>
        <v>-1.768921014</v>
      </c>
    </row>
    <row r="30" ht="15.75" customHeight="1">
      <c r="A30" s="4" t="s">
        <v>97</v>
      </c>
      <c r="B30" s="4" t="str">
        <f t="shared" ref="B30:C30" si="18">B25*B29</f>
        <v>-1.043698005</v>
      </c>
      <c r="C30" s="4" t="str">
        <f t="shared" si="18"/>
        <v>-1.600440435</v>
      </c>
      <c r="D30" s="4"/>
      <c r="E30" s="4" t="str">
        <f t="shared" ref="E30:F30" si="19">E25*E29</f>
        <v>0.05006000627</v>
      </c>
      <c r="F30" s="4" t="str">
        <f t="shared" si="19"/>
        <v>-1.248150668</v>
      </c>
    </row>
    <row r="31" ht="15.75" customHeight="1">
      <c r="A31" s="4" t="s">
        <v>98</v>
      </c>
      <c r="B31" s="1" t="str">
        <f t="shared" ref="B31:C31" si="20">B24-7.8</f>
        <v>-3.8</v>
      </c>
      <c r="C31" s="1" t="str">
        <f t="shared" si="20"/>
        <v>-5.7</v>
      </c>
      <c r="E31" s="1" t="str">
        <f t="shared" ref="E31:F31" si="21">E24-2.05</f>
        <v>-4.15</v>
      </c>
      <c r="F31" s="1" t="str">
        <f t="shared" si="21"/>
        <v>-4.05</v>
      </c>
    </row>
    <row r="32" ht="15.75" customHeight="1">
      <c r="A32" s="4" t="s">
        <v>99</v>
      </c>
      <c r="B32" s="4" t="str">
        <f t="shared" ref="B32:C32" si="22">0.8*B31+0.2*B24</f>
        <v>-2.24</v>
      </c>
      <c r="C32" s="4" t="str">
        <f t="shared" si="22"/>
        <v>-4.14</v>
      </c>
      <c r="D32" s="4"/>
      <c r="E32" s="4" t="str">
        <f t="shared" ref="E32:F32" si="23">0.8*E31+0.2*E24</f>
        <v>-3.74</v>
      </c>
      <c r="F32" s="4" t="str">
        <f t="shared" si="23"/>
        <v>-3.64</v>
      </c>
    </row>
    <row r="33" ht="15.75" customHeight="1">
      <c r="A33" s="4" t="s">
        <v>100</v>
      </c>
      <c r="B33" s="4" t="str">
        <f t="shared" ref="B33:C33" si="24">B25*B32</f>
        <v>-0.6610023763</v>
      </c>
      <c r="C33" s="4" t="str">
        <f t="shared" si="24"/>
        <v>-1.221674035</v>
      </c>
      <c r="D33" s="4"/>
      <c r="E33" s="4" t="str">
        <f t="shared" ref="E33:F33" si="25">E25*E32</f>
        <v>-2.638944</v>
      </c>
      <c r="F33" s="4" t="str">
        <f t="shared" si="25"/>
        <v>-2.568384</v>
      </c>
    </row>
    <row r="34" ht="15.75" customHeight="1">
      <c r="A34" s="4" t="s">
        <v>101</v>
      </c>
      <c r="B34" s="4" t="str">
        <f>SUM(B30:K30)/SUM(B25:K25)</f>
        <v>-1.919789231</v>
      </c>
      <c r="C34" s="4"/>
      <c r="E34" s="4"/>
      <c r="F34" s="4"/>
    </row>
    <row r="35" ht="15.75" customHeight="1">
      <c r="A35" s="4" t="s">
        <v>102</v>
      </c>
      <c r="B35" s="4" t="str">
        <f>ABS(SUM(B33:K33)/SUM(B25:K25))</f>
        <v>3.542556614</v>
      </c>
      <c r="C35" s="4"/>
      <c r="E35" s="4"/>
      <c r="F35" s="4"/>
    </row>
    <row r="36" ht="15.75" customHeight="1">
      <c r="A36" s="4" t="s">
        <v>103</v>
      </c>
      <c r="B36" s="4" t="str">
        <f>AVERAGE(B34:B35)</f>
        <v>0.8113836915</v>
      </c>
      <c r="C36" s="4"/>
      <c r="E36" s="4"/>
      <c r="F36" s="4"/>
    </row>
    <row r="37" ht="15.75" customHeight="1">
      <c r="A37" s="4"/>
      <c r="B37" s="4"/>
      <c r="C37" s="4"/>
      <c r="E37" s="4"/>
      <c r="F37" s="4"/>
    </row>
    <row r="38" ht="15.75" customHeight="1">
      <c r="A38" s="4"/>
      <c r="B38" s="4"/>
      <c r="C38" s="4"/>
      <c r="E38" s="4"/>
      <c r="F38" s="4"/>
    </row>
    <row r="39" ht="15.75" customHeight="1">
      <c r="A39" s="1" t="s">
        <v>104</v>
      </c>
      <c r="B39" s="1" t="str">
        <f t="shared" ref="B39:C39" si="26">SUM(B7:B16)*B25 </f>
        <v>2.360722772</v>
      </c>
      <c r="C39" s="1" t="str">
        <f t="shared" si="26"/>
        <v>2.360722772</v>
      </c>
      <c r="E39" s="1" t="str">
        <f t="shared" ref="E39:F39" si="27">SUM(E7:E16)*E25 </f>
        <v>5.292</v>
      </c>
      <c r="F39" s="1" t="str">
        <f t="shared" si="27"/>
        <v>5.292</v>
      </c>
    </row>
    <row r="40" ht="15.75" customHeight="1">
      <c r="A40" s="1" t="s">
        <v>105</v>
      </c>
      <c r="B40" s="1" t="str">
        <f>SUM(B39:K39)/SUM(B25:K25)</f>
        <v>7.647443386</v>
      </c>
      <c r="E40" s="4"/>
      <c r="F40" s="4"/>
    </row>
    <row r="41" ht="15.75" customHeight="1">
      <c r="A41" s="4"/>
      <c r="B41" s="1" t="str">
        <f>B40*0.7+G17*2+B18</f>
        <v>5.85321037</v>
      </c>
      <c r="C41" s="4"/>
      <c r="E41" s="4"/>
      <c r="F41" s="4"/>
    </row>
    <row r="42" ht="15.75" customHeight="1">
      <c r="A42" s="4"/>
      <c r="B42" s="4"/>
      <c r="C42" s="4"/>
      <c r="E42" s="4"/>
      <c r="F42" s="4"/>
    </row>
    <row r="43" ht="15.75" customHeight="1">
      <c r="A43" s="4"/>
      <c r="B43" s="4"/>
      <c r="C43" s="4"/>
      <c r="E43" s="4"/>
      <c r="F43" s="4"/>
    </row>
    <row r="44" ht="15.75" customHeight="1">
      <c r="A44" s="4"/>
      <c r="B44" s="4"/>
      <c r="C44" s="4"/>
      <c r="E44" s="4"/>
      <c r="F44" s="4"/>
    </row>
    <row r="45" ht="15.75" customHeight="1">
      <c r="A45" s="4"/>
      <c r="B45" s="4"/>
      <c r="C45" s="4"/>
      <c r="E45" s="4"/>
      <c r="F45" s="4"/>
    </row>
    <row r="46" ht="15.75" customHeight="1">
      <c r="A46" s="4"/>
      <c r="B46" s="4"/>
      <c r="C46" s="4"/>
      <c r="E46" s="4"/>
      <c r="F46" s="4"/>
    </row>
    <row r="47" ht="15.75" customHeight="1">
      <c r="A47" s="4"/>
      <c r="B47" s="4"/>
      <c r="C47" s="4"/>
      <c r="E47" s="4"/>
      <c r="F47" s="4"/>
    </row>
    <row r="48" ht="15.75" customHeight="1">
      <c r="A48" s="4"/>
      <c r="B48" s="4"/>
      <c r="C48" s="4"/>
      <c r="E48" s="4"/>
      <c r="F48" s="4"/>
    </row>
    <row r="49" ht="15.75" customHeight="1">
      <c r="A49" s="4"/>
      <c r="B49" s="4"/>
      <c r="C49" s="4"/>
      <c r="E49" s="4"/>
      <c r="F49" s="4"/>
    </row>
    <row r="50" ht="15.75" customHeight="1">
      <c r="A50" s="4"/>
      <c r="B50" s="4"/>
      <c r="C50" s="4"/>
      <c r="E50" s="4"/>
      <c r="F50" s="4"/>
    </row>
    <row r="51" ht="15.75" customHeight="1">
      <c r="A51" s="4"/>
      <c r="B51" s="4"/>
      <c r="C51" s="4"/>
      <c r="E51" s="4"/>
      <c r="F51" s="4"/>
    </row>
    <row r="52" ht="15.75" customHeight="1">
      <c r="A52" s="4"/>
      <c r="B52" s="4"/>
      <c r="C52" s="4"/>
      <c r="E52" s="4"/>
      <c r="F52" s="4"/>
    </row>
    <row r="53" ht="15.75" customHeight="1">
      <c r="A53" s="4"/>
      <c r="B53" s="4"/>
      <c r="C53" s="4"/>
      <c r="E53" s="4"/>
      <c r="F53" s="4"/>
    </row>
    <row r="54" ht="15.75" customHeight="1">
      <c r="A54" s="4"/>
      <c r="B54" s="4"/>
      <c r="C54" s="4"/>
      <c r="E54" s="4"/>
      <c r="F54" s="4"/>
    </row>
    <row r="55" ht="15.75" customHeight="1">
      <c r="A55" s="4"/>
      <c r="B55" s="4"/>
      <c r="C55" s="4"/>
      <c r="E55" s="4"/>
      <c r="F55" s="4"/>
    </row>
    <row r="56" ht="15.75" customHeight="1">
      <c r="A56" s="4"/>
      <c r="B56" s="4"/>
      <c r="C56" s="4"/>
      <c r="E56" s="4"/>
      <c r="F56" s="4"/>
    </row>
    <row r="57" ht="15.75" customHeight="1">
      <c r="A57" s="4"/>
      <c r="B57" s="4"/>
      <c r="C57" s="4"/>
      <c r="E57" s="4"/>
      <c r="F57" s="4"/>
    </row>
    <row r="58" ht="15.75" customHeight="1">
      <c r="A58" s="4"/>
      <c r="B58" s="4"/>
      <c r="C58" s="4"/>
      <c r="E58" s="4"/>
      <c r="F58" s="4"/>
    </row>
    <row r="59" ht="15.75" customHeight="1">
      <c r="A59" s="4"/>
      <c r="B59" s="4"/>
      <c r="C59" s="4"/>
      <c r="E59" s="4"/>
      <c r="F59" s="4"/>
    </row>
    <row r="60" ht="15.75" customHeight="1">
      <c r="A60" s="4"/>
      <c r="B60" s="4"/>
      <c r="C60" s="4"/>
      <c r="E60" s="4"/>
      <c r="F60" s="4"/>
    </row>
    <row r="61" ht="15.75" customHeight="1">
      <c r="A61" s="4"/>
      <c r="B61" s="4"/>
      <c r="C61" s="4"/>
      <c r="E61" s="4"/>
      <c r="F61" s="4"/>
    </row>
    <row r="62" ht="15.75" customHeight="1">
      <c r="A62" s="4"/>
      <c r="B62" s="4"/>
      <c r="C62" s="4"/>
      <c r="E62" s="4"/>
      <c r="F62" s="4"/>
    </row>
    <row r="63" ht="15.75" customHeight="1">
      <c r="A63" s="4"/>
      <c r="B63" s="4"/>
      <c r="C63" s="4"/>
      <c r="E63" s="4"/>
      <c r="F63" s="4"/>
    </row>
    <row r="64" ht="15.75" customHeight="1">
      <c r="A64" s="4"/>
      <c r="B64" s="4"/>
      <c r="C64" s="4"/>
      <c r="E64" s="4"/>
      <c r="F64" s="4"/>
    </row>
    <row r="65" ht="15.75" customHeight="1">
      <c r="A65" s="4"/>
      <c r="B65" s="4"/>
      <c r="C65" s="4"/>
      <c r="E65" s="4"/>
      <c r="F65" s="4"/>
    </row>
    <row r="66" ht="15.75" customHeight="1">
      <c r="A66" s="4"/>
      <c r="B66" s="4"/>
      <c r="C66" s="4"/>
      <c r="E66" s="4"/>
      <c r="F66" s="4"/>
    </row>
    <row r="67" ht="15.75" customHeight="1">
      <c r="A67" s="4"/>
      <c r="B67" s="4"/>
      <c r="C67" s="4"/>
      <c r="E67" s="4"/>
      <c r="F67" s="4"/>
    </row>
    <row r="68" ht="15.75" customHeight="1">
      <c r="A68" s="4"/>
      <c r="B68" s="4"/>
      <c r="C68" s="4"/>
      <c r="E68" s="4"/>
      <c r="F68" s="4"/>
    </row>
    <row r="69" ht="15.75" customHeight="1">
      <c r="A69" s="4"/>
      <c r="B69" s="4"/>
      <c r="C69" s="4"/>
      <c r="E69" s="4"/>
      <c r="F69" s="4"/>
    </row>
    <row r="70" ht="15.75" customHeight="1">
      <c r="A70" s="4"/>
      <c r="B70" s="4"/>
      <c r="C70" s="4"/>
      <c r="E70" s="4"/>
      <c r="F70" s="4"/>
    </row>
    <row r="71" ht="15.75" customHeight="1">
      <c r="A71" s="4"/>
      <c r="B71" s="4"/>
      <c r="C71" s="4"/>
      <c r="E71" s="4"/>
      <c r="F71" s="4"/>
    </row>
    <row r="72" ht="15.75" customHeight="1">
      <c r="A72" s="4"/>
      <c r="B72" s="4"/>
      <c r="C72" s="4"/>
      <c r="E72" s="4"/>
      <c r="F72" s="4"/>
    </row>
    <row r="73" ht="15.75" customHeight="1">
      <c r="A73" s="4"/>
      <c r="B73" s="4"/>
      <c r="C73" s="4"/>
      <c r="E73" s="4"/>
      <c r="F73" s="4"/>
    </row>
    <row r="74" ht="15.75" customHeight="1">
      <c r="A74" s="4"/>
      <c r="B74" s="4"/>
      <c r="C74" s="4"/>
      <c r="E74" s="4"/>
      <c r="F74" s="4"/>
    </row>
    <row r="75" ht="15.75" customHeight="1">
      <c r="A75" s="4"/>
      <c r="B75" s="4"/>
      <c r="C75" s="4"/>
      <c r="E75" s="4"/>
      <c r="F75" s="4"/>
    </row>
    <row r="76" ht="15.75" customHeight="1">
      <c r="A76" s="4"/>
      <c r="B76" s="4"/>
      <c r="C76" s="4"/>
      <c r="E76" s="4"/>
      <c r="F76" s="4"/>
    </row>
    <row r="77" ht="15.75" customHeight="1">
      <c r="A77" s="4"/>
      <c r="B77" s="4"/>
      <c r="C77" s="4"/>
      <c r="E77" s="4"/>
      <c r="F77" s="4"/>
    </row>
    <row r="78" ht="15.75" customHeight="1">
      <c r="A78" s="4"/>
      <c r="B78" s="4"/>
      <c r="C78" s="4"/>
      <c r="E78" s="4"/>
      <c r="F78" s="4"/>
    </row>
    <row r="79" ht="15.75" customHeight="1">
      <c r="A79" s="4"/>
      <c r="B79" s="4"/>
      <c r="C79" s="4"/>
      <c r="E79" s="4"/>
      <c r="F79" s="4"/>
    </row>
    <row r="80" ht="15.75" customHeight="1">
      <c r="A80" s="4"/>
      <c r="B80" s="4"/>
      <c r="C80" s="4"/>
      <c r="E80" s="4"/>
      <c r="F80" s="4"/>
    </row>
    <row r="81" ht="15.75" customHeight="1">
      <c r="A81" s="4"/>
      <c r="B81" s="4"/>
      <c r="C81" s="4"/>
      <c r="E81" s="4"/>
      <c r="F81" s="4"/>
    </row>
    <row r="82" ht="15.75" customHeight="1">
      <c r="A82" s="4"/>
      <c r="B82" s="4"/>
      <c r="C82" s="4"/>
      <c r="E82" s="4"/>
      <c r="F82" s="4"/>
    </row>
    <row r="83" ht="15.75" customHeight="1">
      <c r="A83" s="4"/>
      <c r="B83" s="4"/>
      <c r="C83" s="4"/>
      <c r="E83" s="4"/>
      <c r="F83" s="4"/>
    </row>
    <row r="84" ht="15.75" customHeight="1">
      <c r="A84" s="4"/>
      <c r="B84" s="4"/>
      <c r="C84" s="4"/>
      <c r="E84" s="4"/>
      <c r="F84" s="4"/>
    </row>
    <row r="85" ht="15.75" customHeight="1">
      <c r="A85" s="4"/>
      <c r="B85" s="4"/>
      <c r="C85" s="4"/>
      <c r="E85" s="4"/>
      <c r="F85" s="4"/>
    </row>
    <row r="86" ht="15.75" customHeight="1">
      <c r="A86" s="4"/>
      <c r="B86" s="4"/>
      <c r="C86" s="4"/>
      <c r="E86" s="4"/>
      <c r="F86" s="4"/>
    </row>
    <row r="87" ht="15.75" customHeight="1">
      <c r="A87" s="4"/>
      <c r="B87" s="4"/>
      <c r="C87" s="4"/>
      <c r="E87" s="4"/>
      <c r="F87" s="4"/>
    </row>
    <row r="88" ht="15.75" customHeight="1">
      <c r="A88" s="4"/>
      <c r="B88" s="4"/>
      <c r="C88" s="4"/>
      <c r="E88" s="4"/>
      <c r="F88" s="4"/>
    </row>
    <row r="89" ht="15.75" customHeight="1">
      <c r="A89" s="4"/>
      <c r="B89" s="4"/>
      <c r="C89" s="4"/>
      <c r="E89" s="4"/>
      <c r="F89" s="4"/>
    </row>
    <row r="90" ht="15.75" customHeight="1">
      <c r="A90" s="4"/>
      <c r="B90" s="4"/>
      <c r="C90" s="4"/>
      <c r="E90" s="4"/>
      <c r="F90" s="4"/>
    </row>
    <row r="91" ht="15.75" customHeight="1">
      <c r="A91" s="4"/>
      <c r="B91" s="4"/>
      <c r="C91" s="4"/>
      <c r="E91" s="4"/>
      <c r="F91" s="4"/>
    </row>
    <row r="92" ht="15.75" customHeight="1">
      <c r="A92" s="4"/>
      <c r="B92" s="4"/>
      <c r="C92" s="4"/>
      <c r="E92" s="4"/>
      <c r="F92" s="4"/>
    </row>
    <row r="93" ht="15.75" customHeight="1">
      <c r="A93" s="4"/>
      <c r="B93" s="4"/>
      <c r="C93" s="4"/>
      <c r="E93" s="4"/>
      <c r="F93" s="4"/>
    </row>
    <row r="94" ht="15.75" customHeight="1">
      <c r="A94" s="4"/>
      <c r="B94" s="4"/>
      <c r="C94" s="4"/>
      <c r="E94" s="4"/>
      <c r="F94" s="4"/>
    </row>
    <row r="95" ht="15.75" customHeight="1">
      <c r="A95" s="4"/>
      <c r="B95" s="4"/>
      <c r="C95" s="4"/>
      <c r="E95" s="4"/>
      <c r="F95" s="4"/>
    </row>
    <row r="96" ht="15.75" customHeight="1">
      <c r="A96" s="4"/>
      <c r="B96" s="4"/>
      <c r="C96" s="4"/>
      <c r="E96" s="4"/>
      <c r="F96" s="4"/>
    </row>
    <row r="97" ht="15.75" customHeight="1">
      <c r="A97" s="4"/>
      <c r="B97" s="4"/>
      <c r="C97" s="4"/>
      <c r="E97" s="4"/>
      <c r="F97" s="4"/>
    </row>
    <row r="98" ht="15.75" customHeight="1">
      <c r="A98" s="4"/>
      <c r="B98" s="4"/>
      <c r="C98" s="4"/>
      <c r="E98" s="4"/>
      <c r="F98" s="4"/>
    </row>
    <row r="99" ht="15.75" customHeight="1">
      <c r="A99" s="4"/>
      <c r="B99" s="4"/>
      <c r="C99" s="4"/>
      <c r="E99" s="4"/>
      <c r="F99" s="4"/>
    </row>
    <row r="100" ht="15.75" customHeight="1">
      <c r="A100" s="4"/>
      <c r="B100" s="4"/>
      <c r="C100" s="4"/>
      <c r="E100" s="4"/>
      <c r="F100" s="4"/>
    </row>
    <row r="101" ht="15.75" customHeight="1">
      <c r="A101" s="4"/>
      <c r="B101" s="4"/>
      <c r="C101" s="4"/>
      <c r="E101" s="4"/>
      <c r="F101" s="4"/>
    </row>
    <row r="102" ht="15.75" customHeight="1">
      <c r="A102" s="4"/>
      <c r="B102" s="4"/>
      <c r="C102" s="4"/>
      <c r="E102" s="4"/>
      <c r="F102" s="4"/>
    </row>
    <row r="103" ht="15.75" customHeight="1">
      <c r="A103" s="4"/>
      <c r="B103" s="4"/>
      <c r="C103" s="4"/>
      <c r="E103" s="4"/>
      <c r="F103" s="4"/>
    </row>
    <row r="104" ht="15.75" customHeight="1">
      <c r="A104" s="4"/>
      <c r="B104" s="4"/>
      <c r="C104" s="4"/>
      <c r="E104" s="4"/>
      <c r="F104" s="4"/>
    </row>
    <row r="105" ht="15.75" customHeight="1">
      <c r="A105" s="4"/>
      <c r="B105" s="4"/>
      <c r="C105" s="4"/>
      <c r="E105" s="4"/>
      <c r="F105" s="4"/>
    </row>
    <row r="106" ht="15.75" customHeight="1">
      <c r="A106" s="4"/>
      <c r="B106" s="4"/>
      <c r="C106" s="4"/>
      <c r="E106" s="4"/>
      <c r="F106" s="4"/>
    </row>
    <row r="107" ht="15.75" customHeight="1">
      <c r="A107" s="4"/>
      <c r="B107" s="4"/>
      <c r="C107" s="4"/>
      <c r="E107" s="4"/>
      <c r="F107" s="4"/>
    </row>
    <row r="108" ht="15.75" customHeight="1">
      <c r="A108" s="4"/>
      <c r="B108" s="4"/>
      <c r="C108" s="4"/>
      <c r="E108" s="4"/>
      <c r="F108" s="4"/>
    </row>
    <row r="109" ht="15.75" customHeight="1">
      <c r="A109" s="4"/>
      <c r="B109" s="4"/>
      <c r="C109" s="4"/>
      <c r="E109" s="4"/>
      <c r="F109" s="4"/>
    </row>
    <row r="110" ht="15.75" customHeight="1">
      <c r="A110" s="4"/>
      <c r="B110" s="4"/>
      <c r="C110" s="4"/>
      <c r="E110" s="4"/>
      <c r="F110" s="4"/>
    </row>
    <row r="111" ht="15.75" customHeight="1">
      <c r="A111" s="4"/>
      <c r="B111" s="4"/>
      <c r="C111" s="4"/>
      <c r="E111" s="4"/>
      <c r="F111" s="4"/>
    </row>
    <row r="112" ht="15.75" customHeight="1">
      <c r="A112" s="4"/>
      <c r="B112" s="4"/>
      <c r="C112" s="4"/>
      <c r="E112" s="4"/>
      <c r="F112" s="4"/>
    </row>
    <row r="113" ht="15.75" customHeight="1">
      <c r="A113" s="4"/>
      <c r="B113" s="4"/>
      <c r="C113" s="4"/>
      <c r="E113" s="4"/>
      <c r="F113" s="4"/>
    </row>
    <row r="114" ht="15.75" customHeight="1">
      <c r="A114" s="4"/>
      <c r="B114" s="4"/>
      <c r="C114" s="4"/>
      <c r="E114" s="4"/>
      <c r="F114" s="4"/>
    </row>
    <row r="115" ht="15.75" customHeight="1">
      <c r="A115" s="4"/>
      <c r="B115" s="4"/>
      <c r="C115" s="4"/>
      <c r="E115" s="4"/>
      <c r="F115" s="4"/>
    </row>
    <row r="116" ht="15.75" customHeight="1">
      <c r="A116" s="4"/>
      <c r="B116" s="4"/>
      <c r="C116" s="4"/>
      <c r="E116" s="4"/>
      <c r="F116" s="4"/>
    </row>
    <row r="117" ht="15.75" customHeight="1">
      <c r="A117" s="4"/>
      <c r="B117" s="4"/>
      <c r="C117" s="4"/>
      <c r="E117" s="4"/>
      <c r="F117" s="4"/>
    </row>
    <row r="118" ht="15.75" customHeight="1">
      <c r="A118" s="4"/>
      <c r="B118" s="4"/>
      <c r="C118" s="4"/>
      <c r="E118" s="4"/>
      <c r="F118" s="4"/>
    </row>
    <row r="119" ht="15.75" customHeight="1">
      <c r="A119" s="4"/>
      <c r="B119" s="4"/>
      <c r="C119" s="4"/>
      <c r="E119" s="4"/>
      <c r="F119" s="4"/>
    </row>
    <row r="120" ht="15.75" customHeight="1">
      <c r="A120" s="4"/>
      <c r="B120" s="4"/>
      <c r="C120" s="4"/>
      <c r="E120" s="4"/>
      <c r="F120" s="4"/>
    </row>
    <row r="121" ht="15.75" customHeight="1">
      <c r="A121" s="4"/>
      <c r="B121" s="4"/>
      <c r="C121" s="4"/>
      <c r="E121" s="4"/>
      <c r="F121" s="4"/>
    </row>
    <row r="122" ht="15.75" customHeight="1">
      <c r="A122" s="4"/>
      <c r="B122" s="4"/>
      <c r="C122" s="4"/>
      <c r="E122" s="4"/>
      <c r="F122" s="4"/>
    </row>
    <row r="123" ht="15.75" customHeight="1">
      <c r="A123" s="4"/>
      <c r="B123" s="4"/>
      <c r="C123" s="4"/>
      <c r="E123" s="4"/>
      <c r="F123" s="4"/>
    </row>
    <row r="124" ht="15.75" customHeight="1">
      <c r="A124" s="4"/>
      <c r="B124" s="4"/>
      <c r="C124" s="4"/>
      <c r="E124" s="4"/>
      <c r="F124" s="4"/>
    </row>
    <row r="125" ht="15.75" customHeight="1">
      <c r="A125" s="4"/>
      <c r="B125" s="4"/>
      <c r="C125" s="4"/>
      <c r="E125" s="4"/>
      <c r="F125" s="4"/>
    </row>
    <row r="126" ht="15.75" customHeight="1">
      <c r="A126" s="4"/>
      <c r="B126" s="4"/>
      <c r="C126" s="4"/>
      <c r="E126" s="4"/>
      <c r="F126" s="4"/>
    </row>
    <row r="127" ht="15.75" customHeight="1">
      <c r="A127" s="4"/>
      <c r="B127" s="4"/>
      <c r="C127" s="4"/>
      <c r="E127" s="4"/>
      <c r="F127" s="4"/>
    </row>
    <row r="128" ht="15.75" customHeight="1">
      <c r="A128" s="4"/>
      <c r="B128" s="4"/>
      <c r="C128" s="4"/>
      <c r="E128" s="4"/>
      <c r="F128" s="4"/>
    </row>
    <row r="129" ht="15.75" customHeight="1">
      <c r="A129" s="4"/>
      <c r="B129" s="4"/>
      <c r="C129" s="4"/>
      <c r="E129" s="4"/>
      <c r="F129" s="4"/>
    </row>
    <row r="130" ht="15.75" customHeight="1">
      <c r="A130" s="4"/>
      <c r="B130" s="4"/>
      <c r="C130" s="4"/>
      <c r="E130" s="4"/>
      <c r="F130" s="4"/>
    </row>
    <row r="131" ht="15.75" customHeight="1">
      <c r="A131" s="4"/>
      <c r="B131" s="4"/>
      <c r="C131" s="4"/>
      <c r="E131" s="4"/>
      <c r="F131" s="4"/>
    </row>
    <row r="132" ht="15.75" customHeight="1">
      <c r="A132" s="4"/>
      <c r="B132" s="4"/>
      <c r="C132" s="4"/>
      <c r="E132" s="4"/>
      <c r="F132" s="4"/>
    </row>
    <row r="133" ht="15.75" customHeight="1">
      <c r="A133" s="4"/>
      <c r="B133" s="4"/>
      <c r="C133" s="4"/>
      <c r="E133" s="4"/>
      <c r="F133" s="4"/>
    </row>
    <row r="134" ht="15.75" customHeight="1">
      <c r="A134" s="4"/>
      <c r="B134" s="4"/>
      <c r="C134" s="4"/>
      <c r="E134" s="4"/>
      <c r="F134" s="4"/>
    </row>
    <row r="135" ht="15.75" customHeight="1">
      <c r="A135" s="4"/>
      <c r="B135" s="4"/>
      <c r="C135" s="4"/>
      <c r="E135" s="4"/>
      <c r="F135" s="4"/>
    </row>
    <row r="136" ht="15.75" customHeight="1">
      <c r="A136" s="4"/>
      <c r="B136" s="4"/>
      <c r="C136" s="4"/>
      <c r="E136" s="4"/>
      <c r="F136" s="4"/>
    </row>
    <row r="137" ht="15.75" customHeight="1">
      <c r="A137" s="4"/>
      <c r="B137" s="4"/>
      <c r="C137" s="4"/>
      <c r="E137" s="4"/>
      <c r="F137" s="4"/>
    </row>
    <row r="138" ht="15.75" customHeight="1">
      <c r="A138" s="4"/>
      <c r="B138" s="4"/>
      <c r="C138" s="4"/>
      <c r="E138" s="4"/>
      <c r="F138" s="4"/>
    </row>
    <row r="139" ht="15.75" customHeight="1">
      <c r="A139" s="4"/>
      <c r="B139" s="4"/>
      <c r="C139" s="4"/>
      <c r="E139" s="4"/>
      <c r="F139" s="4"/>
    </row>
    <row r="140" ht="15.75" customHeight="1">
      <c r="A140" s="4"/>
      <c r="B140" s="4"/>
      <c r="C140" s="4"/>
      <c r="E140" s="4"/>
      <c r="F140" s="4"/>
    </row>
    <row r="141" ht="15.75" customHeight="1">
      <c r="A141" s="4"/>
      <c r="B141" s="4"/>
      <c r="C141" s="4"/>
      <c r="E141" s="4"/>
      <c r="F141" s="4"/>
    </row>
    <row r="142" ht="15.75" customHeight="1">
      <c r="A142" s="4"/>
      <c r="B142" s="4"/>
      <c r="C142" s="4"/>
      <c r="E142" s="4"/>
      <c r="F142" s="4"/>
    </row>
    <row r="143" ht="15.75" customHeight="1">
      <c r="A143" s="4"/>
      <c r="B143" s="4"/>
      <c r="C143" s="4"/>
      <c r="E143" s="4"/>
      <c r="F143" s="4"/>
    </row>
    <row r="144" ht="15.75" customHeight="1">
      <c r="A144" s="4"/>
      <c r="B144" s="4"/>
      <c r="C144" s="4"/>
      <c r="E144" s="4"/>
      <c r="F144" s="4"/>
    </row>
    <row r="145" ht="15.75" customHeight="1">
      <c r="A145" s="4"/>
      <c r="B145" s="4"/>
      <c r="C145" s="4"/>
      <c r="E145" s="4"/>
      <c r="F145" s="4"/>
    </row>
    <row r="146" ht="15.75" customHeight="1">
      <c r="A146" s="4"/>
      <c r="B146" s="4"/>
      <c r="C146" s="4"/>
      <c r="E146" s="4"/>
      <c r="F146" s="4"/>
    </row>
    <row r="147" ht="15.75" customHeight="1">
      <c r="A147" s="4"/>
      <c r="B147" s="4"/>
      <c r="C147" s="4"/>
      <c r="E147" s="4"/>
      <c r="F147" s="4"/>
    </row>
    <row r="148" ht="15.75" customHeight="1">
      <c r="A148" s="4"/>
      <c r="B148" s="4"/>
      <c r="C148" s="4"/>
      <c r="E148" s="4"/>
      <c r="F148" s="4"/>
    </row>
    <row r="149" ht="15.75" customHeight="1">
      <c r="A149" s="4"/>
      <c r="B149" s="4"/>
      <c r="C149" s="4"/>
      <c r="E149" s="4"/>
      <c r="F149" s="4"/>
    </row>
    <row r="150" ht="15.75" customHeight="1">
      <c r="A150" s="4"/>
      <c r="B150" s="4"/>
      <c r="C150" s="4"/>
      <c r="E150" s="4"/>
      <c r="F150" s="4"/>
    </row>
    <row r="151" ht="15.75" customHeight="1">
      <c r="A151" s="4"/>
      <c r="B151" s="4"/>
      <c r="C151" s="4"/>
      <c r="E151" s="4"/>
      <c r="F151" s="4"/>
    </row>
    <row r="152" ht="15.75" customHeight="1">
      <c r="A152" s="4"/>
      <c r="B152" s="4"/>
      <c r="C152" s="4"/>
      <c r="E152" s="4"/>
      <c r="F152" s="4"/>
    </row>
    <row r="153" ht="15.75" customHeight="1">
      <c r="A153" s="4"/>
      <c r="B153" s="4"/>
      <c r="C153" s="4"/>
      <c r="E153" s="4"/>
      <c r="F153" s="4"/>
    </row>
    <row r="154" ht="15.75" customHeight="1">
      <c r="A154" s="4"/>
      <c r="B154" s="4"/>
      <c r="C154" s="4"/>
      <c r="E154" s="4"/>
      <c r="F154" s="4"/>
    </row>
    <row r="155" ht="15.75" customHeight="1">
      <c r="A155" s="4"/>
      <c r="B155" s="4"/>
      <c r="C155" s="4"/>
      <c r="E155" s="4"/>
      <c r="F155" s="4"/>
    </row>
    <row r="156" ht="15.75" customHeight="1">
      <c r="A156" s="4"/>
      <c r="B156" s="4"/>
      <c r="C156" s="4"/>
      <c r="E156" s="4"/>
      <c r="F156" s="4"/>
    </row>
    <row r="157" ht="15.75" customHeight="1">
      <c r="A157" s="4"/>
      <c r="B157" s="4"/>
      <c r="C157" s="4"/>
      <c r="E157" s="4"/>
      <c r="F157" s="4"/>
    </row>
    <row r="158" ht="15.75" customHeight="1">
      <c r="A158" s="4"/>
      <c r="B158" s="4"/>
      <c r="C158" s="4"/>
      <c r="E158" s="4"/>
      <c r="F158" s="4"/>
    </row>
    <row r="159" ht="15.75" customHeight="1">
      <c r="A159" s="4"/>
      <c r="B159" s="4"/>
      <c r="C159" s="4"/>
      <c r="E159" s="4"/>
      <c r="F159" s="4"/>
    </row>
    <row r="160" ht="15.75" customHeight="1">
      <c r="A160" s="4"/>
      <c r="B160" s="4"/>
      <c r="C160" s="4"/>
      <c r="E160" s="4"/>
      <c r="F160" s="4"/>
    </row>
    <row r="161" ht="15.75" customHeight="1">
      <c r="A161" s="4"/>
      <c r="B161" s="4"/>
      <c r="C161" s="4"/>
      <c r="E161" s="4"/>
      <c r="F161" s="4"/>
    </row>
    <row r="162" ht="15.75" customHeight="1">
      <c r="A162" s="4"/>
      <c r="B162" s="4"/>
      <c r="C162" s="4"/>
      <c r="E162" s="4"/>
      <c r="F162" s="4"/>
    </row>
    <row r="163" ht="15.75" customHeight="1">
      <c r="A163" s="4"/>
      <c r="B163" s="4"/>
      <c r="C163" s="4"/>
      <c r="E163" s="4"/>
      <c r="F163" s="4"/>
    </row>
    <row r="164" ht="15.75" customHeight="1">
      <c r="A164" s="4"/>
      <c r="B164" s="4"/>
      <c r="C164" s="4"/>
      <c r="E164" s="4"/>
      <c r="F164" s="4"/>
    </row>
    <row r="165" ht="15.75" customHeight="1">
      <c r="A165" s="4"/>
      <c r="B165" s="4"/>
      <c r="C165" s="4"/>
      <c r="E165" s="4"/>
      <c r="F165" s="4"/>
    </row>
    <row r="166" ht="15.75" customHeight="1">
      <c r="A166" s="4"/>
      <c r="B166" s="4"/>
      <c r="C166" s="4"/>
      <c r="E166" s="4"/>
      <c r="F166" s="4"/>
    </row>
    <row r="167" ht="15.75" customHeight="1">
      <c r="A167" s="4"/>
      <c r="B167" s="4"/>
      <c r="C167" s="4"/>
      <c r="E167" s="4"/>
      <c r="F167" s="4"/>
    </row>
    <row r="168" ht="15.75" customHeight="1">
      <c r="A168" s="4"/>
      <c r="B168" s="4"/>
      <c r="C168" s="4"/>
      <c r="E168" s="4"/>
      <c r="F168" s="4"/>
    </row>
    <row r="169" ht="15.75" customHeight="1">
      <c r="A169" s="4"/>
      <c r="B169" s="4"/>
      <c r="C169" s="4"/>
      <c r="E169" s="4"/>
      <c r="F169" s="4"/>
    </row>
    <row r="170" ht="15.75" customHeight="1">
      <c r="A170" s="4"/>
      <c r="B170" s="4"/>
      <c r="C170" s="4"/>
      <c r="E170" s="4"/>
      <c r="F170" s="4"/>
    </row>
    <row r="171" ht="15.75" customHeight="1">
      <c r="A171" s="4"/>
      <c r="B171" s="4"/>
      <c r="C171" s="4"/>
      <c r="E171" s="4"/>
      <c r="F171" s="4"/>
    </row>
    <row r="172" ht="15.75" customHeight="1">
      <c r="A172" s="4"/>
      <c r="B172" s="4"/>
      <c r="C172" s="4"/>
      <c r="E172" s="4"/>
      <c r="F172" s="4"/>
    </row>
    <row r="173" ht="15.75" customHeight="1">
      <c r="A173" s="4"/>
      <c r="B173" s="4"/>
      <c r="C173" s="4"/>
      <c r="E173" s="4"/>
      <c r="F173" s="4"/>
    </row>
    <row r="174" ht="15.75" customHeight="1">
      <c r="A174" s="4"/>
      <c r="B174" s="4"/>
      <c r="C174" s="4"/>
      <c r="E174" s="4"/>
      <c r="F174" s="4"/>
    </row>
    <row r="175" ht="15.75" customHeight="1">
      <c r="A175" s="4"/>
      <c r="B175" s="4"/>
      <c r="C175" s="4"/>
      <c r="E175" s="4"/>
      <c r="F175" s="4"/>
    </row>
    <row r="176" ht="15.75" customHeight="1">
      <c r="A176" s="4"/>
      <c r="B176" s="4"/>
      <c r="C176" s="4"/>
      <c r="E176" s="4"/>
      <c r="F176" s="4"/>
    </row>
    <row r="177" ht="15.75" customHeight="1">
      <c r="A177" s="4"/>
      <c r="B177" s="4"/>
      <c r="C177" s="4"/>
      <c r="E177" s="4"/>
      <c r="F177" s="4"/>
    </row>
    <row r="178" ht="15.75" customHeight="1">
      <c r="A178" s="4"/>
      <c r="B178" s="4"/>
      <c r="C178" s="4"/>
      <c r="E178" s="4"/>
      <c r="F178" s="4"/>
    </row>
    <row r="179" ht="15.75" customHeight="1">
      <c r="A179" s="4"/>
      <c r="B179" s="4"/>
      <c r="C179" s="4"/>
      <c r="E179" s="4"/>
      <c r="F179" s="4"/>
    </row>
    <row r="180" ht="15.75" customHeight="1">
      <c r="A180" s="4"/>
      <c r="B180" s="4"/>
      <c r="C180" s="4"/>
      <c r="E180" s="4"/>
      <c r="F180" s="4"/>
    </row>
    <row r="181" ht="15.75" customHeight="1">
      <c r="A181" s="4"/>
      <c r="B181" s="4"/>
      <c r="C181" s="4"/>
      <c r="E181" s="4"/>
      <c r="F181" s="4"/>
    </row>
    <row r="182" ht="15.75" customHeight="1">
      <c r="A182" s="4"/>
      <c r="B182" s="4"/>
      <c r="C182" s="4"/>
      <c r="E182" s="4"/>
      <c r="F182" s="4"/>
    </row>
    <row r="183" ht="15.75" customHeight="1">
      <c r="A183" s="4"/>
      <c r="B183" s="4"/>
      <c r="C183" s="4"/>
      <c r="E183" s="4"/>
      <c r="F183" s="4"/>
    </row>
    <row r="184" ht="15.75" customHeight="1">
      <c r="A184" s="4"/>
      <c r="B184" s="4"/>
      <c r="C184" s="4"/>
      <c r="E184" s="4"/>
      <c r="F184" s="4"/>
    </row>
    <row r="185" ht="15.75" customHeight="1">
      <c r="A185" s="4"/>
      <c r="B185" s="4"/>
      <c r="C185" s="4"/>
      <c r="E185" s="4"/>
      <c r="F185" s="4"/>
    </row>
    <row r="186" ht="15.75" customHeight="1">
      <c r="A186" s="4"/>
      <c r="B186" s="4"/>
      <c r="C186" s="4"/>
      <c r="E186" s="4"/>
      <c r="F186" s="4"/>
    </row>
    <row r="187" ht="15.75" customHeight="1">
      <c r="A187" s="4"/>
      <c r="B187" s="4"/>
      <c r="C187" s="4"/>
      <c r="E187" s="4"/>
      <c r="F187" s="4"/>
    </row>
    <row r="188" ht="15.75" customHeight="1">
      <c r="A188" s="4"/>
      <c r="B188" s="4"/>
      <c r="C188" s="4"/>
      <c r="E188" s="4"/>
      <c r="F188" s="4"/>
    </row>
    <row r="189" ht="15.75" customHeight="1">
      <c r="A189" s="4"/>
      <c r="B189" s="4"/>
      <c r="C189" s="4"/>
      <c r="E189" s="4"/>
      <c r="F189" s="4"/>
    </row>
    <row r="190" ht="15.75" customHeight="1">
      <c r="A190" s="4"/>
      <c r="B190" s="4"/>
      <c r="C190" s="4"/>
      <c r="E190" s="4"/>
      <c r="F190" s="4"/>
    </row>
    <row r="191" ht="15.75" customHeight="1">
      <c r="A191" s="4"/>
      <c r="B191" s="4"/>
      <c r="C191" s="4"/>
      <c r="E191" s="4"/>
      <c r="F191" s="4"/>
    </row>
    <row r="192" ht="15.75" customHeight="1">
      <c r="A192" s="4"/>
      <c r="B192" s="4"/>
      <c r="C192" s="4"/>
      <c r="E192" s="4"/>
      <c r="F192" s="4"/>
    </row>
    <row r="193" ht="15.75" customHeight="1">
      <c r="A193" s="4"/>
      <c r="B193" s="4"/>
      <c r="C193" s="4"/>
      <c r="E193" s="4"/>
      <c r="F193" s="4"/>
    </row>
    <row r="194" ht="15.75" customHeight="1">
      <c r="A194" s="4"/>
      <c r="B194" s="4"/>
      <c r="C194" s="4"/>
      <c r="E194" s="4"/>
      <c r="F194" s="4"/>
    </row>
    <row r="195" ht="15.75" customHeight="1">
      <c r="A195" s="4"/>
      <c r="B195" s="4"/>
      <c r="C195" s="4"/>
      <c r="E195" s="4"/>
      <c r="F195" s="4"/>
    </row>
    <row r="196" ht="15.75" customHeight="1">
      <c r="A196" s="4"/>
      <c r="B196" s="4"/>
      <c r="C196" s="4"/>
      <c r="E196" s="4"/>
      <c r="F196" s="4"/>
    </row>
    <row r="197" ht="15.75" customHeight="1">
      <c r="A197" s="4"/>
      <c r="B197" s="4"/>
      <c r="C197" s="4"/>
      <c r="E197" s="4"/>
      <c r="F197" s="4"/>
    </row>
    <row r="198" ht="15.75" customHeight="1">
      <c r="A198" s="4"/>
      <c r="B198" s="4"/>
      <c r="C198" s="4"/>
      <c r="E198" s="4"/>
      <c r="F198" s="4"/>
    </row>
    <row r="199" ht="15.75" customHeight="1">
      <c r="A199" s="4"/>
      <c r="B199" s="4"/>
      <c r="C199" s="4"/>
      <c r="E199" s="4"/>
      <c r="F199" s="4"/>
    </row>
    <row r="200" ht="15.75" customHeight="1">
      <c r="A200" s="4"/>
      <c r="B200" s="4"/>
      <c r="C200" s="4"/>
      <c r="E200" s="4"/>
      <c r="F200" s="4"/>
    </row>
    <row r="201" ht="15.75" customHeight="1">
      <c r="A201" s="4"/>
      <c r="B201" s="4"/>
      <c r="C201" s="4"/>
      <c r="E201" s="4"/>
      <c r="F201" s="4"/>
    </row>
    <row r="202" ht="15.75" customHeight="1">
      <c r="A202" s="4"/>
      <c r="B202" s="4"/>
      <c r="C202" s="4"/>
      <c r="E202" s="4"/>
      <c r="F202" s="4"/>
    </row>
    <row r="203" ht="15.75" customHeight="1">
      <c r="A203" s="4"/>
      <c r="B203" s="4"/>
      <c r="C203" s="4"/>
      <c r="E203" s="4"/>
      <c r="F203" s="4"/>
    </row>
    <row r="204" ht="15.75" customHeight="1">
      <c r="A204" s="4"/>
      <c r="B204" s="4"/>
      <c r="C204" s="4"/>
      <c r="E204" s="4"/>
      <c r="F204" s="4"/>
    </row>
    <row r="205" ht="15.75" customHeight="1">
      <c r="A205" s="4"/>
      <c r="B205" s="4"/>
      <c r="C205" s="4"/>
      <c r="E205" s="4"/>
      <c r="F205" s="4"/>
    </row>
    <row r="206" ht="15.75" customHeight="1">
      <c r="A206" s="4"/>
      <c r="B206" s="4"/>
      <c r="C206" s="4"/>
      <c r="E206" s="4"/>
      <c r="F206" s="4"/>
    </row>
    <row r="207" ht="15.75" customHeight="1">
      <c r="A207" s="4"/>
      <c r="B207" s="4"/>
      <c r="C207" s="4"/>
      <c r="E207" s="4"/>
      <c r="F207" s="4"/>
    </row>
    <row r="208" ht="15.75" customHeight="1">
      <c r="A208" s="4"/>
      <c r="B208" s="4"/>
      <c r="C208" s="4"/>
      <c r="E208" s="4"/>
      <c r="F208" s="4"/>
    </row>
    <row r="209" ht="15.75" customHeight="1">
      <c r="A209" s="4"/>
      <c r="B209" s="4"/>
      <c r="C209" s="4"/>
      <c r="E209" s="4"/>
      <c r="F209" s="4"/>
    </row>
    <row r="210" ht="15.75" customHeight="1">
      <c r="A210" s="4"/>
      <c r="B210" s="4"/>
      <c r="C210" s="4"/>
      <c r="E210" s="4"/>
      <c r="F210" s="4"/>
    </row>
    <row r="211" ht="15.75" customHeight="1">
      <c r="A211" s="4"/>
      <c r="B211" s="4"/>
      <c r="C211" s="4"/>
      <c r="E211" s="4"/>
      <c r="F211" s="4"/>
    </row>
    <row r="212" ht="15.75" customHeight="1">
      <c r="A212" s="4"/>
      <c r="B212" s="4"/>
      <c r="C212" s="4"/>
      <c r="E212" s="4"/>
      <c r="F212" s="4"/>
    </row>
    <row r="213" ht="15.75" customHeight="1">
      <c r="A213" s="4"/>
      <c r="B213" s="4"/>
      <c r="C213" s="4"/>
      <c r="E213" s="4"/>
      <c r="F213" s="4"/>
    </row>
    <row r="214" ht="15.75" customHeight="1">
      <c r="A214" s="4"/>
      <c r="B214" s="4"/>
      <c r="C214" s="4"/>
      <c r="E214" s="4"/>
      <c r="F214" s="4"/>
    </row>
    <row r="215" ht="15.75" customHeight="1">
      <c r="A215" s="4"/>
      <c r="B215" s="4"/>
      <c r="C215" s="4"/>
      <c r="E215" s="4"/>
      <c r="F215" s="4"/>
    </row>
    <row r="216" ht="15.75" customHeight="1">
      <c r="A216" s="4"/>
      <c r="B216" s="4"/>
      <c r="C216" s="4"/>
      <c r="E216" s="4"/>
      <c r="F216" s="4"/>
    </row>
    <row r="217" ht="15.75" customHeight="1">
      <c r="A217" s="4"/>
      <c r="B217" s="4"/>
      <c r="C217" s="4"/>
      <c r="E217" s="4"/>
      <c r="F217" s="4"/>
    </row>
    <row r="218" ht="15.75" customHeight="1">
      <c r="A218" s="4"/>
      <c r="B218" s="4"/>
      <c r="C218" s="4"/>
      <c r="E218" s="4"/>
      <c r="F218" s="4"/>
    </row>
    <row r="219" ht="15.75" customHeight="1">
      <c r="A219" s="4"/>
      <c r="B219" s="4"/>
      <c r="C219" s="4"/>
      <c r="E219" s="4"/>
      <c r="F219" s="4"/>
    </row>
    <row r="220" ht="15.75" customHeight="1">
      <c r="A220" s="4"/>
      <c r="B220" s="4"/>
      <c r="C220" s="4"/>
      <c r="E220" s="4"/>
      <c r="F220" s="4"/>
    </row>
    <row r="221" ht="15.75" customHeight="1">
      <c r="A221" s="4"/>
      <c r="B221" s="4"/>
      <c r="C221" s="4"/>
      <c r="E221" s="4"/>
      <c r="F221" s="4"/>
    </row>
    <row r="222" ht="15.75" customHeight="1">
      <c r="A222" s="4"/>
      <c r="B222" s="4"/>
      <c r="C222" s="4"/>
      <c r="E222" s="4"/>
      <c r="F222" s="4"/>
    </row>
    <row r="223" ht="15.75" customHeight="1">
      <c r="A223" s="4"/>
      <c r="B223" s="4"/>
      <c r="C223" s="4"/>
      <c r="E223" s="4"/>
      <c r="F223" s="4"/>
    </row>
    <row r="224" ht="15.75" customHeight="1">
      <c r="A224" s="4"/>
      <c r="B224" s="4"/>
      <c r="C224" s="4"/>
      <c r="E224" s="4"/>
      <c r="F224" s="4"/>
    </row>
    <row r="225" ht="15.75" customHeight="1">
      <c r="A225" s="4"/>
      <c r="B225" s="4"/>
      <c r="C225" s="4"/>
      <c r="E225" s="4"/>
      <c r="F225" s="4"/>
    </row>
    <row r="226" ht="15.75" customHeight="1">
      <c r="A226" s="4"/>
      <c r="B226" s="4"/>
      <c r="C226" s="4"/>
      <c r="E226" s="4"/>
      <c r="F226" s="4"/>
    </row>
    <row r="227" ht="15.75" customHeight="1">
      <c r="A227" s="4"/>
      <c r="B227" s="4"/>
      <c r="C227" s="4"/>
      <c r="E227" s="4"/>
      <c r="F227" s="4"/>
    </row>
    <row r="228" ht="15.75" customHeight="1">
      <c r="A228" s="4"/>
      <c r="B228" s="4"/>
      <c r="C228" s="4"/>
      <c r="E228" s="4"/>
      <c r="F228" s="4"/>
    </row>
    <row r="229" ht="15.75" customHeight="1">
      <c r="A229" s="4"/>
      <c r="B229" s="4"/>
      <c r="C229" s="4"/>
      <c r="E229" s="4"/>
      <c r="F229" s="4"/>
    </row>
    <row r="230" ht="15.75" customHeight="1">
      <c r="A230" s="4"/>
      <c r="B230" s="4"/>
      <c r="C230" s="4"/>
      <c r="E230" s="4"/>
      <c r="F230" s="4"/>
    </row>
    <row r="231" ht="15.75" customHeight="1">
      <c r="A231" s="4"/>
      <c r="B231" s="4"/>
      <c r="C231" s="4"/>
      <c r="E231" s="4"/>
      <c r="F231" s="4"/>
    </row>
    <row r="232" ht="15.75" customHeight="1">
      <c r="A232" s="4"/>
      <c r="B232" s="4"/>
      <c r="C232" s="4"/>
      <c r="E232" s="4"/>
      <c r="F232" s="4"/>
    </row>
    <row r="233" ht="15.75" customHeight="1">
      <c r="A233" s="4"/>
      <c r="B233" s="4"/>
      <c r="C233" s="4"/>
      <c r="E233" s="4"/>
      <c r="F233" s="4"/>
    </row>
    <row r="234" ht="15.75" customHeight="1">
      <c r="A234" s="4"/>
      <c r="B234" s="4"/>
      <c r="C234" s="4"/>
      <c r="E234" s="4"/>
      <c r="F234" s="4"/>
    </row>
    <row r="235" ht="15.75" customHeight="1">
      <c r="A235" s="4"/>
      <c r="B235" s="4"/>
      <c r="C235" s="4"/>
      <c r="E235" s="4"/>
      <c r="F235" s="4"/>
    </row>
    <row r="236" ht="15.75" customHeight="1">
      <c r="A236" s="4"/>
      <c r="B236" s="4"/>
      <c r="C236" s="4"/>
      <c r="E236" s="4"/>
      <c r="F236" s="4"/>
    </row>
    <row r="237" ht="15.75" customHeight="1">
      <c r="A237" s="4"/>
      <c r="B237" s="4"/>
      <c r="C237" s="4"/>
      <c r="E237" s="4"/>
      <c r="F237" s="4"/>
    </row>
    <row r="238" ht="15.75" customHeight="1">
      <c r="A238" s="4"/>
      <c r="B238" s="4"/>
      <c r="C238" s="4"/>
      <c r="E238" s="4"/>
      <c r="F238" s="4"/>
    </row>
    <row r="239" ht="15.75" customHeight="1">
      <c r="A239" s="4"/>
      <c r="B239" s="4"/>
      <c r="C239" s="4"/>
      <c r="E239" s="4"/>
      <c r="F239" s="4"/>
    </row>
    <row r="240" ht="15.75" customHeight="1">
      <c r="A240" s="4"/>
      <c r="B240" s="4"/>
      <c r="C240" s="4"/>
      <c r="E240" s="4"/>
      <c r="F240" s="4"/>
    </row>
    <row r="241" ht="15.75" customHeight="1">
      <c r="A241" s="4"/>
      <c r="B241" s="4"/>
      <c r="C241" s="4"/>
      <c r="E241" s="4"/>
      <c r="F24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0"/>
      <c r="B1" s="10">
        <v>3746.0</v>
      </c>
      <c r="C1" s="10">
        <v>3750.0</v>
      </c>
      <c r="E1" s="10">
        <v>9083.0</v>
      </c>
      <c r="F1" s="10">
        <v>9106.0</v>
      </c>
    </row>
    <row r="2" ht="15.75" customHeight="1">
      <c r="A2" s="4"/>
      <c r="B2" s="4" t="s">
        <v>11</v>
      </c>
      <c r="C2" s="4" t="s">
        <v>11</v>
      </c>
      <c r="E2" s="4" t="s">
        <v>11</v>
      </c>
      <c r="F2" s="4" t="s">
        <v>11</v>
      </c>
    </row>
    <row r="3" ht="15.75" customHeight="1">
      <c r="A3" s="10"/>
      <c r="B3" s="10">
        <v>7.5</v>
      </c>
      <c r="C3" s="10">
        <v>7.5</v>
      </c>
      <c r="E3" s="10">
        <v>9.0</v>
      </c>
      <c r="F3" s="10">
        <v>7.5</v>
      </c>
    </row>
    <row r="4" ht="15.75" customHeight="1">
      <c r="A4" s="10"/>
      <c r="B4" s="10">
        <v>24.6</v>
      </c>
      <c r="C4" s="10">
        <v>21.7</v>
      </c>
      <c r="E4" s="10">
        <v>10.0</v>
      </c>
      <c r="F4" s="10">
        <v>6.3</v>
      </c>
    </row>
    <row r="5" ht="15.75" customHeight="1">
      <c r="A5" s="10"/>
      <c r="B5" s="10" t="str">
        <f t="shared" ref="B5:C5" si="1">ABS(17.1 - B4)</f>
        <v>7.5</v>
      </c>
      <c r="C5" s="10" t="str">
        <f t="shared" si="1"/>
        <v>4.6</v>
      </c>
      <c r="E5" s="10" t="str">
        <f t="shared" ref="E5:F5" si="2">ABS(0.8 - E4)</f>
        <v>9.2</v>
      </c>
      <c r="F5" s="10" t="str">
        <f t="shared" si="2"/>
        <v>5.5</v>
      </c>
    </row>
    <row r="6" ht="15.75" customHeight="1">
      <c r="A6" s="10"/>
      <c r="B6" s="10" t="str">
        <f t="shared" ref="B6:C6" si="3">B4 - 17.1</f>
        <v>7.5</v>
      </c>
      <c r="C6" s="10" t="str">
        <f t="shared" si="3"/>
        <v>4.6</v>
      </c>
      <c r="E6" s="10" t="str">
        <f t="shared" ref="E6:F6" si="4">0.8 - E4</f>
        <v>-9.2</v>
      </c>
      <c r="F6" s="10" t="str">
        <f t="shared" si="4"/>
        <v>-5.5</v>
      </c>
    </row>
    <row r="7" ht="15.75" customHeight="1">
      <c r="A7" s="10"/>
      <c r="B7" s="10">
        <v>1.0</v>
      </c>
      <c r="C7" s="10">
        <v>1.0</v>
      </c>
      <c r="E7" s="10">
        <v>1.0</v>
      </c>
      <c r="F7" s="10">
        <v>1.0</v>
      </c>
    </row>
    <row r="8" ht="15.75" customHeight="1">
      <c r="A8" s="10"/>
      <c r="B8" s="10">
        <v>1.0</v>
      </c>
      <c r="C8" s="10">
        <v>1.0</v>
      </c>
      <c r="E8" s="10">
        <v>1.0</v>
      </c>
      <c r="F8" s="10">
        <v>1.0</v>
      </c>
    </row>
    <row r="9" ht="15.75" customHeight="1">
      <c r="A9" s="10"/>
      <c r="B9" s="10">
        <v>1.0</v>
      </c>
      <c r="C9" s="10">
        <v>1.0</v>
      </c>
      <c r="E9" s="10">
        <v>1.0</v>
      </c>
      <c r="F9" s="10">
        <v>1.0</v>
      </c>
    </row>
    <row r="10" ht="15.75" customHeight="1">
      <c r="A10" s="10"/>
      <c r="B10" s="10">
        <v>1.0</v>
      </c>
      <c r="C10" s="10">
        <v>1.0</v>
      </c>
      <c r="E10" s="10">
        <v>1.0</v>
      </c>
      <c r="F10" s="10">
        <v>1.0</v>
      </c>
    </row>
    <row r="11" ht="15.75" customHeight="1">
      <c r="A11" s="10"/>
      <c r="B11" s="10">
        <v>1.0</v>
      </c>
      <c r="C11" s="10">
        <v>1.0</v>
      </c>
      <c r="E11" s="10">
        <v>1.0</v>
      </c>
      <c r="F11" s="10">
        <v>1.0</v>
      </c>
    </row>
    <row r="12" ht="15.75" customHeight="1">
      <c r="A12" s="10"/>
      <c r="B12" s="10">
        <v>1.0</v>
      </c>
      <c r="C12" s="10">
        <v>1.0</v>
      </c>
      <c r="E12" s="10">
        <v>1.0</v>
      </c>
      <c r="F12" s="10">
        <v>1.0</v>
      </c>
    </row>
    <row r="13" ht="15.75" customHeight="1">
      <c r="A13" s="10"/>
      <c r="B13" s="10">
        <v>1.0</v>
      </c>
      <c r="C13" s="10">
        <v>1.0</v>
      </c>
      <c r="E13" s="10">
        <v>1.0</v>
      </c>
      <c r="F13" s="10">
        <v>1.0</v>
      </c>
    </row>
    <row r="14" ht="15.75" customHeight="1">
      <c r="A14" s="10"/>
      <c r="B14" s="10">
        <v>1.0</v>
      </c>
      <c r="C14" s="10">
        <v>1.0</v>
      </c>
      <c r="E14" s="10">
        <v>1.0</v>
      </c>
      <c r="F14" s="10">
        <v>1.0</v>
      </c>
    </row>
    <row r="15" ht="15.75" customHeight="1">
      <c r="A15" s="10"/>
      <c r="B15" s="10">
        <v>0.0</v>
      </c>
      <c r="C15" s="10">
        <v>0.0</v>
      </c>
      <c r="E15" s="10">
        <v>0.0</v>
      </c>
      <c r="F15" s="10">
        <v>0.0</v>
      </c>
    </row>
    <row r="16" ht="15.75" customHeight="1">
      <c r="A16" s="10"/>
      <c r="B16" s="10">
        <v>0.0</v>
      </c>
      <c r="C16" s="10">
        <v>0.0</v>
      </c>
      <c r="E16" s="10">
        <v>0.0</v>
      </c>
      <c r="F16" s="10">
        <v>0.0</v>
      </c>
    </row>
    <row r="17" ht="15.75" customHeight="1">
      <c r="A17" s="11"/>
      <c r="B17" s="11" t="s">
        <v>28</v>
      </c>
      <c r="C17" s="11" t="s">
        <v>28</v>
      </c>
      <c r="E17" s="4" t="s">
        <v>28</v>
      </c>
      <c r="F17" s="4" t="s">
        <v>28</v>
      </c>
      <c r="G17" s="12">
        <v>1.0</v>
      </c>
    </row>
    <row r="18" ht="15.75" customHeight="1">
      <c r="A18" s="10"/>
      <c r="B18" s="10">
        <v>1.0</v>
      </c>
      <c r="C18" s="10">
        <v>1.0</v>
      </c>
      <c r="E18" s="10">
        <v>1.0</v>
      </c>
      <c r="F18" s="10">
        <v>1.0</v>
      </c>
    </row>
    <row r="19" ht="15.75" customHeight="1">
      <c r="A19" s="10"/>
      <c r="B19" s="10">
        <v>1023.0</v>
      </c>
      <c r="C19" s="10">
        <v>1147.0</v>
      </c>
      <c r="E19" s="10">
        <v>1028.0</v>
      </c>
      <c r="F19" s="10">
        <v>1009.0</v>
      </c>
    </row>
    <row r="20" ht="15.75" customHeight="1">
      <c r="A20" s="4"/>
      <c r="B20" s="4" t="s">
        <v>38</v>
      </c>
      <c r="C20" s="4" t="s">
        <v>43</v>
      </c>
      <c r="E20" s="4" t="s">
        <v>80</v>
      </c>
      <c r="F20" s="4" t="s">
        <v>80</v>
      </c>
    </row>
    <row r="21" ht="15.75" customHeight="1">
      <c r="A21" s="4"/>
      <c r="B21" s="13">
        <v>0.031</v>
      </c>
      <c r="C21" s="13">
        <v>0.029</v>
      </c>
      <c r="D21" s="13"/>
      <c r="E21" s="13">
        <v>0.031</v>
      </c>
      <c r="F21" s="13">
        <v>0.031</v>
      </c>
    </row>
    <row r="22" ht="15.75" customHeight="1">
      <c r="A22" s="4" t="s">
        <v>106</v>
      </c>
      <c r="B22" s="4" t="str">
        <f t="shared" ref="B22:C22" si="5">0.2*SQRT(B3) + 134.6 / SQRT(B19)</f>
        <v>4.756027896</v>
      </c>
      <c r="C22" s="4" t="str">
        <f t="shared" si="5"/>
        <v>4.522047304</v>
      </c>
      <c r="D22" s="4"/>
      <c r="E22" s="4" t="str">
        <f t="shared" ref="E22:F22" si="6">0.2*SQRT(E3) + 134.6 / SQRT(E19)</f>
        <v>4.798058658</v>
      </c>
      <c r="F22" s="4" t="str">
        <f t="shared" si="6"/>
        <v>4.785122699</v>
      </c>
    </row>
    <row r="23" ht="15.75" customHeight="1">
      <c r="A23" s="4" t="s">
        <v>87</v>
      </c>
      <c r="B23" s="4" t="str">
        <f t="shared" ref="B23:C23" si="7">B5-B22</f>
        <v>2.743972104</v>
      </c>
      <c r="C23" s="4" t="str">
        <f t="shared" si="7"/>
        <v>0.07795269574</v>
      </c>
      <c r="D23" s="4"/>
      <c r="E23" s="4" t="str">
        <f t="shared" ref="E23:F23" si="8">E5-E22</f>
        <v>4.401941342</v>
      </c>
      <c r="F23" s="4" t="str">
        <f t="shared" si="8"/>
        <v>0.7148773009</v>
      </c>
    </row>
    <row r="24" ht="15.75" customHeight="1">
      <c r="A24" s="4" t="s">
        <v>88</v>
      </c>
      <c r="B24" s="4" t="str">
        <f t="shared" ref="B24:F24" si="9">B6</f>
        <v>7.5</v>
      </c>
      <c r="C24" s="4" t="str">
        <f t="shared" si="9"/>
        <v>4.6</v>
      </c>
      <c r="D24" s="4" t="str">
        <f t="shared" si="9"/>
        <v/>
      </c>
      <c r="E24" s="4" t="str">
        <f t="shared" si="9"/>
        <v>-9.2</v>
      </c>
      <c r="F24" s="4" t="str">
        <f t="shared" si="9"/>
        <v>-5.5</v>
      </c>
    </row>
    <row r="25" ht="15.75" customHeight="1">
      <c r="A25" s="1" t="s">
        <v>89</v>
      </c>
      <c r="B25" s="1" t="str">
        <f t="shared" ref="B25:C25" si="10">0.84^7</f>
        <v>0.2950903466</v>
      </c>
      <c r="C25" s="1" t="str">
        <f t="shared" si="10"/>
        <v>0.2950903466</v>
      </c>
      <c r="E25" s="1" t="str">
        <f t="shared" ref="E25:F25" si="11">0.84^2</f>
        <v>0.7056</v>
      </c>
      <c r="F25" s="1" t="str">
        <f t="shared" si="11"/>
        <v>0.7056</v>
      </c>
    </row>
    <row r="26" ht="15.75" customHeight="1">
      <c r="A26" s="1" t="s">
        <v>93</v>
      </c>
      <c r="B26" s="1" t="str">
        <f t="shared" ref="B26:C26" si="12">B23*B25</f>
        <v>0.8097196791</v>
      </c>
      <c r="C26" s="1" t="str">
        <f t="shared" si="12"/>
        <v>0.023003088</v>
      </c>
      <c r="E26" s="1" t="str">
        <f t="shared" ref="E26:F26" si="13">E23*E25</f>
        <v>3.106009811</v>
      </c>
      <c r="F26" s="1" t="str">
        <f t="shared" si="13"/>
        <v>0.5044174235</v>
      </c>
    </row>
    <row r="27" ht="15.75" customHeight="1">
      <c r="A27" s="1" t="s">
        <v>94</v>
      </c>
      <c r="B27" s="1" t="str">
        <f>SUM(B26:K26)/SUM(B25:K25)</f>
        <v>2.220042402</v>
      </c>
    </row>
    <row r="28" ht="15.75" customHeight="1">
      <c r="A28" s="1" t="s">
        <v>95</v>
      </c>
      <c r="B28" s="1" t="str">
        <f t="shared" ref="B28:C28" si="14">B23-3.49</f>
        <v>-0.746027896</v>
      </c>
      <c r="C28" s="1" t="str">
        <f t="shared" si="14"/>
        <v>-3.412047304</v>
      </c>
      <c r="E28" s="1" t="str">
        <f t="shared" ref="E28:F28" si="15">E23+1.304</f>
        <v>5.705941342</v>
      </c>
      <c r="F28" s="1" t="str">
        <f t="shared" si="15"/>
        <v>2.018877301</v>
      </c>
    </row>
    <row r="29" ht="15.75" customHeight="1">
      <c r="A29" s="4" t="s">
        <v>96</v>
      </c>
      <c r="B29" s="4" t="str">
        <f t="shared" ref="B29:C29" si="16">0.8*B28+0.2*B23</f>
        <v>-0.04802789601</v>
      </c>
      <c r="C29" s="4" t="str">
        <f t="shared" si="16"/>
        <v>-2.714047304</v>
      </c>
      <c r="D29" s="4"/>
      <c r="E29" s="4" t="str">
        <f t="shared" ref="E29:F29" si="17">0.8*E28+0.2*E23</f>
        <v>5.445141342</v>
      </c>
      <c r="F29" s="4" t="str">
        <f t="shared" si="17"/>
        <v>1.758077301</v>
      </c>
    </row>
    <row r="30" ht="15.75" customHeight="1">
      <c r="A30" s="4" t="s">
        <v>97</v>
      </c>
      <c r="B30" s="4" t="str">
        <f t="shared" ref="B30:C30" si="18">B25*B29</f>
        <v>-0.01417256848</v>
      </c>
      <c r="C30" s="4" t="str">
        <f t="shared" si="18"/>
        <v>-0.8008891596</v>
      </c>
      <c r="D30" s="4"/>
      <c r="E30" s="4" t="str">
        <f t="shared" ref="E30:F30" si="19">E25*E29</f>
        <v>3.842091731</v>
      </c>
      <c r="F30" s="4" t="str">
        <f t="shared" si="19"/>
        <v>1.240499343</v>
      </c>
    </row>
    <row r="31" ht="15.75" customHeight="1">
      <c r="A31" s="4" t="s">
        <v>98</v>
      </c>
      <c r="B31" s="1" t="str">
        <f t="shared" ref="B31:C31" si="20">B24-7.8</f>
        <v>-0.3</v>
      </c>
      <c r="C31" s="1" t="str">
        <f t="shared" si="20"/>
        <v>-3.2</v>
      </c>
      <c r="E31" s="1" t="str">
        <f t="shared" ref="E31:F31" si="21">E24-2.05</f>
        <v>-11.25</v>
      </c>
      <c r="F31" s="1" t="str">
        <f t="shared" si="21"/>
        <v>-7.55</v>
      </c>
    </row>
    <row r="32" ht="15.75" customHeight="1">
      <c r="A32" s="4" t="s">
        <v>99</v>
      </c>
      <c r="B32" s="4" t="str">
        <f t="shared" ref="B32:C32" si="22">0.8*B31+0.2*B24</f>
        <v>1.26</v>
      </c>
      <c r="C32" s="4" t="str">
        <f t="shared" si="22"/>
        <v>-1.64</v>
      </c>
      <c r="D32" s="4"/>
      <c r="E32" s="4" t="str">
        <f t="shared" ref="E32:F32" si="23">0.8*E31+0.2*E24</f>
        <v>-10.84</v>
      </c>
      <c r="F32" s="4" t="str">
        <f t="shared" si="23"/>
        <v>-7.14</v>
      </c>
    </row>
    <row r="33" ht="15.75" customHeight="1">
      <c r="A33" s="4" t="s">
        <v>100</v>
      </c>
      <c r="B33" s="4" t="str">
        <f t="shared" ref="B33:C33" si="24">B25*B32</f>
        <v>0.3718138367</v>
      </c>
      <c r="C33" s="4" t="str">
        <f t="shared" si="24"/>
        <v>-0.4839481684</v>
      </c>
      <c r="D33" s="4"/>
      <c r="E33" s="4" t="str">
        <f t="shared" ref="E33:F33" si="25">E25*E32</f>
        <v>-7.648704</v>
      </c>
      <c r="F33" s="4" t="str">
        <f t="shared" si="25"/>
        <v>-5.037984</v>
      </c>
    </row>
    <row r="34" ht="15.75" customHeight="1">
      <c r="A34" s="4" t="s">
        <v>101</v>
      </c>
      <c r="B34" s="4" t="str">
        <f>SUM(B30:K30)/SUM(B25:K25)</f>
        <v>2.132292652</v>
      </c>
      <c r="C34" s="4"/>
      <c r="E34" s="4"/>
      <c r="F34" s="4"/>
    </row>
    <row r="35" ht="15.75" customHeight="1">
      <c r="A35" s="4" t="s">
        <v>102</v>
      </c>
      <c r="B35" s="4" t="str">
        <f>ABS(SUM(B33:K33)/SUM(B25:K25))</f>
        <v>6.394996402</v>
      </c>
      <c r="C35" s="4"/>
      <c r="E35" s="4"/>
      <c r="F35" s="4"/>
    </row>
    <row r="36" ht="15.75" customHeight="1">
      <c r="A36" s="4" t="s">
        <v>103</v>
      </c>
      <c r="B36" s="4" t="str">
        <f>AVERAGE(B34:B35)</f>
        <v>4.263644527</v>
      </c>
      <c r="C36" s="4"/>
      <c r="E36" s="4"/>
      <c r="F36" s="4"/>
    </row>
    <row r="37" ht="15.75" customHeight="1">
      <c r="A37" s="4"/>
      <c r="B37" s="4"/>
      <c r="C37" s="4"/>
      <c r="E37" s="4"/>
      <c r="F37" s="4"/>
    </row>
    <row r="38" ht="15.75" customHeight="1">
      <c r="A38" s="4"/>
      <c r="B38" s="4"/>
      <c r="C38" s="4"/>
      <c r="E38" s="4"/>
      <c r="F38" s="4"/>
    </row>
    <row r="39" ht="15.75" customHeight="1">
      <c r="A39" s="1" t="s">
        <v>104</v>
      </c>
      <c r="B39" s="1" t="str">
        <f t="shared" ref="B39:C39" si="26">SUM(B7:B16)*B25 </f>
        <v>2.360722772</v>
      </c>
      <c r="C39" s="1" t="str">
        <f t="shared" si="26"/>
        <v>2.360722772</v>
      </c>
      <c r="E39" s="1" t="str">
        <f t="shared" ref="E39:F39" si="27">SUM(E7:E16)*E25 </f>
        <v>5.6448</v>
      </c>
      <c r="F39" s="1" t="str">
        <f t="shared" si="27"/>
        <v>5.6448</v>
      </c>
    </row>
    <row r="40" ht="15.75" customHeight="1">
      <c r="A40" s="1" t="s">
        <v>105</v>
      </c>
      <c r="B40" s="1" t="str">
        <f>SUM(B39:K39)/SUM(B25:K25)</f>
        <v>8</v>
      </c>
      <c r="E40" s="4"/>
      <c r="F40" s="4"/>
    </row>
    <row r="41" ht="15.75" customHeight="1">
      <c r="A41" s="4"/>
      <c r="B41" s="1" t="str">
        <f>B40*0.7+G17*2+B18</f>
        <v>8.6</v>
      </c>
      <c r="C41" s="4"/>
      <c r="E41" s="4"/>
      <c r="F41" s="4"/>
    </row>
    <row r="42" ht="15.75" customHeight="1">
      <c r="A42" s="4"/>
      <c r="B42" s="4"/>
      <c r="C42" s="4"/>
      <c r="E42" s="4"/>
      <c r="F42" s="4"/>
    </row>
    <row r="43" ht="15.75" customHeight="1">
      <c r="A43" s="4"/>
      <c r="B43" s="4"/>
      <c r="C43" s="4"/>
      <c r="E43" s="4"/>
      <c r="F43" s="4"/>
    </row>
    <row r="44" ht="15.75" customHeight="1">
      <c r="A44" s="4"/>
      <c r="B44" s="4"/>
      <c r="C44" s="4"/>
      <c r="E44" s="4"/>
      <c r="F44" s="4"/>
    </row>
    <row r="45" ht="15.75" customHeight="1">
      <c r="A45" s="4"/>
      <c r="B45" s="4"/>
      <c r="C45" s="4"/>
      <c r="E45" s="4"/>
      <c r="F45" s="4"/>
    </row>
    <row r="46" ht="15.75" customHeight="1">
      <c r="A46" s="4"/>
      <c r="B46" s="4"/>
      <c r="C46" s="4"/>
      <c r="E46" s="4"/>
      <c r="F46" s="4"/>
    </row>
    <row r="47" ht="15.75" customHeight="1">
      <c r="A47" s="4"/>
      <c r="B47" s="4"/>
      <c r="C47" s="4"/>
      <c r="E47" s="4"/>
      <c r="F47" s="4"/>
    </row>
    <row r="48" ht="15.75" customHeight="1">
      <c r="A48" s="4"/>
      <c r="B48" s="4"/>
      <c r="C48" s="4"/>
      <c r="E48" s="4"/>
      <c r="F48" s="4"/>
    </row>
    <row r="49" ht="15.75" customHeight="1">
      <c r="A49" s="4"/>
      <c r="B49" s="4"/>
      <c r="C49" s="4"/>
      <c r="E49" s="4"/>
      <c r="F49" s="4"/>
    </row>
    <row r="50" ht="15.75" customHeight="1">
      <c r="A50" s="4"/>
      <c r="B50" s="4"/>
      <c r="C50" s="4"/>
      <c r="E50" s="4"/>
      <c r="F50" s="4"/>
    </row>
    <row r="51" ht="15.75" customHeight="1">
      <c r="A51" s="4"/>
      <c r="B51" s="4"/>
      <c r="C51" s="4"/>
      <c r="E51" s="4"/>
      <c r="F51" s="4"/>
    </row>
    <row r="52" ht="15.75" customHeight="1">
      <c r="A52" s="4"/>
      <c r="B52" s="4"/>
      <c r="C52" s="4"/>
      <c r="E52" s="4"/>
      <c r="F52" s="4"/>
    </row>
    <row r="53" ht="15.75" customHeight="1">
      <c r="A53" s="4"/>
      <c r="B53" s="4"/>
      <c r="C53" s="4"/>
      <c r="E53" s="4"/>
      <c r="F53" s="4"/>
    </row>
    <row r="54" ht="15.75" customHeight="1">
      <c r="A54" s="4"/>
      <c r="B54" s="4"/>
      <c r="C54" s="4"/>
      <c r="E54" s="4"/>
      <c r="F54" s="4"/>
    </row>
    <row r="55" ht="15.75" customHeight="1">
      <c r="A55" s="4"/>
      <c r="B55" s="4"/>
      <c r="C55" s="4"/>
      <c r="E55" s="4"/>
      <c r="F55" s="4"/>
    </row>
    <row r="56" ht="15.75" customHeight="1">
      <c r="A56" s="4"/>
      <c r="B56" s="4"/>
      <c r="C56" s="4"/>
      <c r="E56" s="4"/>
      <c r="F56" s="4"/>
    </row>
    <row r="57" ht="15.75" customHeight="1">
      <c r="A57" s="4"/>
      <c r="B57" s="4"/>
      <c r="C57" s="4"/>
      <c r="E57" s="4"/>
      <c r="F57" s="4"/>
    </row>
    <row r="58" ht="15.75" customHeight="1">
      <c r="A58" s="4"/>
      <c r="B58" s="4"/>
      <c r="C58" s="4"/>
      <c r="E58" s="4"/>
      <c r="F58" s="4"/>
    </row>
    <row r="59" ht="15.75" customHeight="1">
      <c r="A59" s="4"/>
      <c r="B59" s="4"/>
      <c r="C59" s="4"/>
      <c r="E59" s="4"/>
      <c r="F59" s="4"/>
    </row>
    <row r="60" ht="15.75" customHeight="1">
      <c r="A60" s="4"/>
      <c r="B60" s="4"/>
      <c r="C60" s="4"/>
      <c r="E60" s="4"/>
      <c r="F60" s="4"/>
    </row>
    <row r="61" ht="15.75" customHeight="1">
      <c r="A61" s="4"/>
      <c r="B61" s="4"/>
      <c r="C61" s="4"/>
      <c r="E61" s="4"/>
      <c r="F61" s="4"/>
    </row>
    <row r="62" ht="15.75" customHeight="1">
      <c r="A62" s="4"/>
      <c r="B62" s="4"/>
      <c r="C62" s="4"/>
      <c r="E62" s="4"/>
      <c r="F62" s="4"/>
    </row>
    <row r="63" ht="15.75" customHeight="1">
      <c r="A63" s="4"/>
      <c r="B63" s="4"/>
      <c r="C63" s="4"/>
      <c r="E63" s="4"/>
      <c r="F63" s="4"/>
    </row>
    <row r="64" ht="15.75" customHeight="1">
      <c r="A64" s="4"/>
      <c r="B64" s="4"/>
      <c r="C64" s="4"/>
      <c r="E64" s="4"/>
      <c r="F64" s="4"/>
    </row>
    <row r="65" ht="15.75" customHeight="1">
      <c r="A65" s="4"/>
      <c r="B65" s="4"/>
      <c r="C65" s="4"/>
      <c r="E65" s="4"/>
      <c r="F65" s="4"/>
    </row>
    <row r="66" ht="15.75" customHeight="1">
      <c r="A66" s="4"/>
      <c r="B66" s="4"/>
      <c r="C66" s="4"/>
      <c r="E66" s="4"/>
      <c r="F66" s="4"/>
    </row>
    <row r="67" ht="15.75" customHeight="1">
      <c r="A67" s="4"/>
      <c r="B67" s="4"/>
      <c r="C67" s="4"/>
      <c r="E67" s="4"/>
      <c r="F67" s="4"/>
    </row>
    <row r="68" ht="15.75" customHeight="1">
      <c r="A68" s="4"/>
      <c r="B68" s="4"/>
      <c r="C68" s="4"/>
      <c r="E68" s="4"/>
      <c r="F68" s="4"/>
    </row>
    <row r="69" ht="15.75" customHeight="1">
      <c r="A69" s="4"/>
      <c r="B69" s="4"/>
      <c r="C69" s="4"/>
      <c r="E69" s="4"/>
      <c r="F69" s="4"/>
    </row>
    <row r="70" ht="15.75" customHeight="1">
      <c r="A70" s="4"/>
      <c r="B70" s="4"/>
      <c r="C70" s="4"/>
      <c r="E70" s="4"/>
      <c r="F70" s="4"/>
    </row>
    <row r="71" ht="15.75" customHeight="1">
      <c r="A71" s="4"/>
      <c r="B71" s="4"/>
      <c r="C71" s="4"/>
      <c r="E71" s="4"/>
      <c r="F71" s="4"/>
    </row>
    <row r="72" ht="15.75" customHeight="1">
      <c r="A72" s="4"/>
      <c r="B72" s="4"/>
      <c r="C72" s="4"/>
      <c r="E72" s="4"/>
      <c r="F72" s="4"/>
    </row>
    <row r="73" ht="15.75" customHeight="1">
      <c r="A73" s="4"/>
      <c r="B73" s="4"/>
      <c r="C73" s="4"/>
      <c r="E73" s="4"/>
      <c r="F73" s="4"/>
    </row>
    <row r="74" ht="15.75" customHeight="1">
      <c r="A74" s="4"/>
      <c r="B74" s="4"/>
      <c r="C74" s="4"/>
      <c r="E74" s="4"/>
      <c r="F74" s="4"/>
    </row>
    <row r="75" ht="15.75" customHeight="1">
      <c r="A75" s="4"/>
      <c r="B75" s="4"/>
      <c r="C75" s="4"/>
      <c r="E75" s="4"/>
      <c r="F75" s="4"/>
    </row>
    <row r="76" ht="15.75" customHeight="1">
      <c r="A76" s="4"/>
      <c r="B76" s="4"/>
      <c r="C76" s="4"/>
      <c r="E76" s="4"/>
      <c r="F76" s="4"/>
    </row>
    <row r="77" ht="15.75" customHeight="1">
      <c r="A77" s="4"/>
      <c r="B77" s="4"/>
      <c r="C77" s="4"/>
      <c r="E77" s="4"/>
      <c r="F77" s="4"/>
    </row>
    <row r="78" ht="15.75" customHeight="1">
      <c r="A78" s="4"/>
      <c r="B78" s="4"/>
      <c r="C78" s="4"/>
      <c r="E78" s="4"/>
      <c r="F78" s="4"/>
    </row>
    <row r="79" ht="15.75" customHeight="1">
      <c r="A79" s="4"/>
      <c r="B79" s="4"/>
      <c r="C79" s="4"/>
      <c r="E79" s="4"/>
      <c r="F79" s="4"/>
    </row>
    <row r="80" ht="15.75" customHeight="1">
      <c r="A80" s="4"/>
      <c r="B80" s="4"/>
      <c r="C80" s="4"/>
      <c r="E80" s="4"/>
      <c r="F80" s="4"/>
    </row>
    <row r="81" ht="15.75" customHeight="1">
      <c r="A81" s="4"/>
      <c r="B81" s="4"/>
      <c r="C81" s="4"/>
      <c r="E81" s="4"/>
      <c r="F81" s="4"/>
    </row>
    <row r="82" ht="15.75" customHeight="1">
      <c r="A82" s="4"/>
      <c r="B82" s="4"/>
      <c r="C82" s="4"/>
      <c r="E82" s="4"/>
      <c r="F82" s="4"/>
    </row>
    <row r="83" ht="15.75" customHeight="1">
      <c r="A83" s="4"/>
      <c r="B83" s="4"/>
      <c r="C83" s="4"/>
      <c r="E83" s="4"/>
      <c r="F83" s="4"/>
    </row>
    <row r="84" ht="15.75" customHeight="1">
      <c r="A84" s="4"/>
      <c r="B84" s="4"/>
      <c r="C84" s="4"/>
      <c r="E84" s="4"/>
      <c r="F84" s="4"/>
    </row>
    <row r="85" ht="15.75" customHeight="1">
      <c r="A85" s="4"/>
      <c r="B85" s="4"/>
      <c r="C85" s="4"/>
      <c r="E85" s="4"/>
      <c r="F85" s="4"/>
    </row>
    <row r="86" ht="15.75" customHeight="1">
      <c r="A86" s="4"/>
      <c r="B86" s="4"/>
      <c r="C86" s="4"/>
      <c r="E86" s="4"/>
      <c r="F86" s="4"/>
    </row>
    <row r="87" ht="15.75" customHeight="1">
      <c r="A87" s="4"/>
      <c r="B87" s="4"/>
      <c r="C87" s="4"/>
      <c r="E87" s="4"/>
      <c r="F87" s="4"/>
    </row>
    <row r="88" ht="15.75" customHeight="1">
      <c r="A88" s="4"/>
      <c r="B88" s="4"/>
      <c r="C88" s="4"/>
      <c r="E88" s="4"/>
      <c r="F88" s="4"/>
    </row>
    <row r="89" ht="15.75" customHeight="1">
      <c r="A89" s="4"/>
      <c r="B89" s="4"/>
      <c r="C89" s="4"/>
      <c r="E89" s="4"/>
      <c r="F89" s="4"/>
    </row>
    <row r="90" ht="15.75" customHeight="1">
      <c r="A90" s="4"/>
      <c r="B90" s="4"/>
      <c r="C90" s="4"/>
      <c r="E90" s="4"/>
      <c r="F90" s="4"/>
    </row>
    <row r="91" ht="15.75" customHeight="1">
      <c r="A91" s="4"/>
      <c r="B91" s="4"/>
      <c r="C91" s="4"/>
      <c r="E91" s="4"/>
      <c r="F91" s="4"/>
    </row>
    <row r="92" ht="15.75" customHeight="1">
      <c r="A92" s="4"/>
      <c r="B92" s="4"/>
      <c r="C92" s="4"/>
      <c r="E92" s="4"/>
      <c r="F92" s="4"/>
    </row>
    <row r="93" ht="15.75" customHeight="1">
      <c r="A93" s="4"/>
      <c r="B93" s="4"/>
      <c r="C93" s="4"/>
      <c r="E93" s="4"/>
      <c r="F93" s="4"/>
    </row>
    <row r="94" ht="15.75" customHeight="1">
      <c r="A94" s="4"/>
      <c r="B94" s="4"/>
      <c r="C94" s="4"/>
      <c r="E94" s="4"/>
      <c r="F94" s="4"/>
    </row>
    <row r="95" ht="15.75" customHeight="1">
      <c r="A95" s="4"/>
      <c r="B95" s="4"/>
      <c r="C95" s="4"/>
      <c r="E95" s="4"/>
      <c r="F95" s="4"/>
    </row>
    <row r="96" ht="15.75" customHeight="1">
      <c r="A96" s="4"/>
      <c r="B96" s="4"/>
      <c r="C96" s="4"/>
      <c r="E96" s="4"/>
      <c r="F96" s="4"/>
    </row>
    <row r="97" ht="15.75" customHeight="1">
      <c r="A97" s="4"/>
      <c r="B97" s="4"/>
      <c r="C97" s="4"/>
      <c r="E97" s="4"/>
      <c r="F97" s="4"/>
    </row>
    <row r="98" ht="15.75" customHeight="1">
      <c r="A98" s="4"/>
      <c r="B98" s="4"/>
      <c r="C98" s="4"/>
      <c r="E98" s="4"/>
      <c r="F98" s="4"/>
    </row>
    <row r="99" ht="15.75" customHeight="1">
      <c r="A99" s="4"/>
      <c r="B99" s="4"/>
      <c r="C99" s="4"/>
      <c r="E99" s="4"/>
      <c r="F99" s="4"/>
    </row>
    <row r="100" ht="15.75" customHeight="1">
      <c r="A100" s="4"/>
      <c r="B100" s="4"/>
      <c r="C100" s="4"/>
      <c r="E100" s="4"/>
      <c r="F100" s="4"/>
    </row>
    <row r="101" ht="15.75" customHeight="1">
      <c r="A101" s="4"/>
      <c r="B101" s="4"/>
      <c r="C101" s="4"/>
      <c r="E101" s="4"/>
      <c r="F101" s="4"/>
    </row>
    <row r="102" ht="15.75" customHeight="1">
      <c r="A102" s="4"/>
      <c r="B102" s="4"/>
      <c r="C102" s="4"/>
      <c r="E102" s="4"/>
      <c r="F102" s="4"/>
    </row>
    <row r="103" ht="15.75" customHeight="1">
      <c r="A103" s="4"/>
      <c r="B103" s="4"/>
      <c r="C103" s="4"/>
      <c r="E103" s="4"/>
      <c r="F103" s="4"/>
    </row>
    <row r="104" ht="15.75" customHeight="1">
      <c r="A104" s="4"/>
      <c r="B104" s="4"/>
      <c r="C104" s="4"/>
      <c r="E104" s="4"/>
      <c r="F104" s="4"/>
    </row>
    <row r="105" ht="15.75" customHeight="1">
      <c r="A105" s="4"/>
      <c r="B105" s="4"/>
      <c r="C105" s="4"/>
      <c r="E105" s="4"/>
      <c r="F105" s="4"/>
    </row>
    <row r="106" ht="15.75" customHeight="1">
      <c r="A106" s="4"/>
      <c r="B106" s="4"/>
      <c r="C106" s="4"/>
      <c r="E106" s="4"/>
      <c r="F106" s="4"/>
    </row>
    <row r="107" ht="15.75" customHeight="1">
      <c r="A107" s="4"/>
      <c r="B107" s="4"/>
      <c r="C107" s="4"/>
      <c r="E107" s="4"/>
      <c r="F107" s="4"/>
    </row>
    <row r="108" ht="15.75" customHeight="1">
      <c r="A108" s="4"/>
      <c r="B108" s="4"/>
      <c r="C108" s="4"/>
      <c r="E108" s="4"/>
      <c r="F108" s="4"/>
    </row>
    <row r="109" ht="15.75" customHeight="1">
      <c r="A109" s="4"/>
      <c r="B109" s="4"/>
      <c r="C109" s="4"/>
      <c r="E109" s="4"/>
      <c r="F109" s="4"/>
    </row>
    <row r="110" ht="15.75" customHeight="1">
      <c r="A110" s="4"/>
      <c r="B110" s="4"/>
      <c r="C110" s="4"/>
      <c r="E110" s="4"/>
      <c r="F110" s="4"/>
    </row>
    <row r="111" ht="15.75" customHeight="1">
      <c r="A111" s="4"/>
      <c r="B111" s="4"/>
      <c r="C111" s="4"/>
      <c r="E111" s="4"/>
      <c r="F111" s="4"/>
    </row>
    <row r="112" ht="15.75" customHeight="1">
      <c r="A112" s="4"/>
      <c r="B112" s="4"/>
      <c r="C112" s="4"/>
      <c r="E112" s="4"/>
      <c r="F112" s="4"/>
    </row>
    <row r="113" ht="15.75" customHeight="1">
      <c r="A113" s="4"/>
      <c r="B113" s="4"/>
      <c r="C113" s="4"/>
      <c r="E113" s="4"/>
      <c r="F113" s="4"/>
    </row>
    <row r="114" ht="15.75" customHeight="1">
      <c r="A114" s="4"/>
      <c r="B114" s="4"/>
      <c r="C114" s="4"/>
      <c r="E114" s="4"/>
      <c r="F114" s="4"/>
    </row>
    <row r="115" ht="15.75" customHeight="1">
      <c r="A115" s="4"/>
      <c r="B115" s="4"/>
      <c r="C115" s="4"/>
      <c r="E115" s="4"/>
      <c r="F115" s="4"/>
    </row>
    <row r="116" ht="15.75" customHeight="1">
      <c r="A116" s="4"/>
      <c r="B116" s="4"/>
      <c r="C116" s="4"/>
      <c r="E116" s="4"/>
      <c r="F116" s="4"/>
    </row>
    <row r="117" ht="15.75" customHeight="1">
      <c r="A117" s="4"/>
      <c r="B117" s="4"/>
      <c r="C117" s="4"/>
      <c r="E117" s="4"/>
      <c r="F117" s="4"/>
    </row>
    <row r="118" ht="15.75" customHeight="1">
      <c r="A118" s="4"/>
      <c r="B118" s="4"/>
      <c r="C118" s="4"/>
      <c r="E118" s="4"/>
      <c r="F118" s="4"/>
    </row>
    <row r="119" ht="15.75" customHeight="1">
      <c r="A119" s="4"/>
      <c r="B119" s="4"/>
      <c r="C119" s="4"/>
      <c r="E119" s="4"/>
      <c r="F119" s="4"/>
    </row>
    <row r="120" ht="15.75" customHeight="1">
      <c r="A120" s="4"/>
      <c r="B120" s="4"/>
      <c r="C120" s="4"/>
      <c r="E120" s="4"/>
      <c r="F120" s="4"/>
    </row>
    <row r="121" ht="15.75" customHeight="1">
      <c r="A121" s="4"/>
      <c r="B121" s="4"/>
      <c r="C121" s="4"/>
      <c r="E121" s="4"/>
      <c r="F121" s="4"/>
    </row>
    <row r="122" ht="15.75" customHeight="1">
      <c r="A122" s="4"/>
      <c r="B122" s="4"/>
      <c r="C122" s="4"/>
      <c r="E122" s="4"/>
      <c r="F122" s="4"/>
    </row>
    <row r="123" ht="15.75" customHeight="1">
      <c r="A123" s="4"/>
      <c r="B123" s="4"/>
      <c r="C123" s="4"/>
      <c r="E123" s="4"/>
      <c r="F123" s="4"/>
    </row>
    <row r="124" ht="15.75" customHeight="1">
      <c r="A124" s="4"/>
      <c r="B124" s="4"/>
      <c r="C124" s="4"/>
      <c r="E124" s="4"/>
      <c r="F124" s="4"/>
    </row>
    <row r="125" ht="15.75" customHeight="1">
      <c r="A125" s="4"/>
      <c r="B125" s="4"/>
      <c r="C125" s="4"/>
      <c r="E125" s="4"/>
      <c r="F125" s="4"/>
    </row>
    <row r="126" ht="15.75" customHeight="1">
      <c r="A126" s="4"/>
      <c r="B126" s="4"/>
      <c r="C126" s="4"/>
      <c r="E126" s="4"/>
      <c r="F126" s="4"/>
    </row>
    <row r="127" ht="15.75" customHeight="1">
      <c r="A127" s="4"/>
      <c r="B127" s="4"/>
      <c r="C127" s="4"/>
      <c r="E127" s="4"/>
      <c r="F127" s="4"/>
    </row>
    <row r="128" ht="15.75" customHeight="1">
      <c r="A128" s="4"/>
      <c r="B128" s="4"/>
      <c r="C128" s="4"/>
      <c r="E128" s="4"/>
      <c r="F128" s="4"/>
    </row>
    <row r="129" ht="15.75" customHeight="1">
      <c r="A129" s="4"/>
      <c r="B129" s="4"/>
      <c r="C129" s="4"/>
      <c r="E129" s="4"/>
      <c r="F129" s="4"/>
    </row>
    <row r="130" ht="15.75" customHeight="1">
      <c r="A130" s="4"/>
      <c r="B130" s="4"/>
      <c r="C130" s="4"/>
      <c r="E130" s="4"/>
      <c r="F130" s="4"/>
    </row>
    <row r="131" ht="15.75" customHeight="1">
      <c r="A131" s="4"/>
      <c r="B131" s="4"/>
      <c r="C131" s="4"/>
      <c r="E131" s="4"/>
      <c r="F131" s="4"/>
    </row>
    <row r="132" ht="15.75" customHeight="1">
      <c r="A132" s="4"/>
      <c r="B132" s="4"/>
      <c r="C132" s="4"/>
      <c r="E132" s="4"/>
      <c r="F132" s="4"/>
    </row>
    <row r="133" ht="15.75" customHeight="1">
      <c r="A133" s="4"/>
      <c r="B133" s="4"/>
      <c r="C133" s="4"/>
      <c r="E133" s="4"/>
      <c r="F133" s="4"/>
    </row>
    <row r="134" ht="15.75" customHeight="1">
      <c r="A134" s="4"/>
      <c r="B134" s="4"/>
      <c r="C134" s="4"/>
      <c r="E134" s="4"/>
      <c r="F134" s="4"/>
    </row>
    <row r="135" ht="15.75" customHeight="1">
      <c r="A135" s="4"/>
      <c r="B135" s="4"/>
      <c r="C135" s="4"/>
      <c r="E135" s="4"/>
      <c r="F135" s="4"/>
    </row>
    <row r="136" ht="15.75" customHeight="1">
      <c r="A136" s="4"/>
      <c r="B136" s="4"/>
      <c r="C136" s="4"/>
      <c r="E136" s="4"/>
      <c r="F136" s="4"/>
    </row>
    <row r="137" ht="15.75" customHeight="1">
      <c r="A137" s="4"/>
      <c r="B137" s="4"/>
      <c r="C137" s="4"/>
      <c r="E137" s="4"/>
      <c r="F137" s="4"/>
    </row>
    <row r="138" ht="15.75" customHeight="1">
      <c r="A138" s="4"/>
      <c r="B138" s="4"/>
      <c r="C138" s="4"/>
      <c r="E138" s="4"/>
      <c r="F138" s="4"/>
    </row>
    <row r="139" ht="15.75" customHeight="1">
      <c r="A139" s="4"/>
      <c r="B139" s="4"/>
      <c r="C139" s="4"/>
      <c r="E139" s="4"/>
      <c r="F139" s="4"/>
    </row>
    <row r="140" ht="15.75" customHeight="1">
      <c r="A140" s="4"/>
      <c r="B140" s="4"/>
      <c r="C140" s="4"/>
      <c r="E140" s="4"/>
      <c r="F140" s="4"/>
    </row>
    <row r="141" ht="15.75" customHeight="1">
      <c r="A141" s="4"/>
      <c r="B141" s="4"/>
      <c r="C141" s="4"/>
      <c r="E141" s="4"/>
      <c r="F141" s="4"/>
    </row>
    <row r="142" ht="15.75" customHeight="1">
      <c r="A142" s="4"/>
      <c r="B142" s="4"/>
      <c r="C142" s="4"/>
      <c r="E142" s="4"/>
      <c r="F142" s="4"/>
    </row>
    <row r="143" ht="15.75" customHeight="1">
      <c r="A143" s="4"/>
      <c r="B143" s="4"/>
      <c r="C143" s="4"/>
      <c r="E143" s="4"/>
      <c r="F143" s="4"/>
    </row>
    <row r="144" ht="15.75" customHeight="1">
      <c r="A144" s="4"/>
      <c r="B144" s="4"/>
      <c r="C144" s="4"/>
      <c r="E144" s="4"/>
      <c r="F144" s="4"/>
    </row>
    <row r="145" ht="15.75" customHeight="1">
      <c r="A145" s="4"/>
      <c r="B145" s="4"/>
      <c r="C145" s="4"/>
      <c r="E145" s="4"/>
      <c r="F145" s="4"/>
    </row>
    <row r="146" ht="15.75" customHeight="1">
      <c r="A146" s="4"/>
      <c r="B146" s="4"/>
      <c r="C146" s="4"/>
      <c r="E146" s="4"/>
      <c r="F146" s="4"/>
    </row>
    <row r="147" ht="15.75" customHeight="1">
      <c r="A147" s="4"/>
      <c r="B147" s="4"/>
      <c r="C147" s="4"/>
      <c r="E147" s="4"/>
      <c r="F147" s="4"/>
    </row>
    <row r="148" ht="15.75" customHeight="1">
      <c r="A148" s="4"/>
      <c r="B148" s="4"/>
      <c r="C148" s="4"/>
      <c r="E148" s="4"/>
      <c r="F148" s="4"/>
    </row>
    <row r="149" ht="15.75" customHeight="1">
      <c r="A149" s="4"/>
      <c r="B149" s="4"/>
      <c r="C149" s="4"/>
      <c r="E149" s="4"/>
      <c r="F149" s="4"/>
    </row>
    <row r="150" ht="15.75" customHeight="1">
      <c r="A150" s="4"/>
      <c r="B150" s="4"/>
      <c r="C150" s="4"/>
      <c r="E150" s="4"/>
      <c r="F150" s="4"/>
    </row>
    <row r="151" ht="15.75" customHeight="1">
      <c r="A151" s="4"/>
      <c r="B151" s="4"/>
      <c r="C151" s="4"/>
      <c r="E151" s="4"/>
      <c r="F151" s="4"/>
    </row>
    <row r="152" ht="15.75" customHeight="1">
      <c r="A152" s="4"/>
      <c r="B152" s="4"/>
      <c r="C152" s="4"/>
      <c r="E152" s="4"/>
      <c r="F152" s="4"/>
    </row>
    <row r="153" ht="15.75" customHeight="1">
      <c r="A153" s="4"/>
      <c r="B153" s="4"/>
      <c r="C153" s="4"/>
      <c r="E153" s="4"/>
      <c r="F153" s="4"/>
    </row>
    <row r="154" ht="15.75" customHeight="1">
      <c r="A154" s="4"/>
      <c r="B154" s="4"/>
      <c r="C154" s="4"/>
      <c r="E154" s="4"/>
      <c r="F154" s="4"/>
    </row>
    <row r="155" ht="15.75" customHeight="1">
      <c r="A155" s="4"/>
      <c r="B155" s="4"/>
      <c r="C155" s="4"/>
      <c r="E155" s="4"/>
      <c r="F155" s="4"/>
    </row>
    <row r="156" ht="15.75" customHeight="1">
      <c r="A156" s="4"/>
      <c r="B156" s="4"/>
      <c r="C156" s="4"/>
      <c r="E156" s="4"/>
      <c r="F156" s="4"/>
    </row>
    <row r="157" ht="15.75" customHeight="1">
      <c r="A157" s="4"/>
      <c r="B157" s="4"/>
      <c r="C157" s="4"/>
      <c r="E157" s="4"/>
      <c r="F157" s="4"/>
    </row>
    <row r="158" ht="15.75" customHeight="1">
      <c r="A158" s="4"/>
      <c r="B158" s="4"/>
      <c r="C158" s="4"/>
      <c r="E158" s="4"/>
      <c r="F158" s="4"/>
    </row>
    <row r="159" ht="15.75" customHeight="1">
      <c r="A159" s="4"/>
      <c r="B159" s="4"/>
      <c r="C159" s="4"/>
      <c r="E159" s="4"/>
      <c r="F159" s="4"/>
    </row>
    <row r="160" ht="15.75" customHeight="1">
      <c r="A160" s="4"/>
      <c r="B160" s="4"/>
      <c r="C160" s="4"/>
      <c r="E160" s="4"/>
      <c r="F160" s="4"/>
    </row>
    <row r="161" ht="15.75" customHeight="1">
      <c r="A161" s="4"/>
      <c r="B161" s="4"/>
      <c r="C161" s="4"/>
      <c r="E161" s="4"/>
      <c r="F161" s="4"/>
    </row>
    <row r="162" ht="15.75" customHeight="1">
      <c r="A162" s="4"/>
      <c r="B162" s="4"/>
      <c r="C162" s="4"/>
      <c r="E162" s="4"/>
      <c r="F162" s="4"/>
    </row>
    <row r="163" ht="15.75" customHeight="1">
      <c r="A163" s="4"/>
      <c r="B163" s="4"/>
      <c r="C163" s="4"/>
      <c r="E163" s="4"/>
      <c r="F163" s="4"/>
    </row>
    <row r="164" ht="15.75" customHeight="1">
      <c r="A164" s="4"/>
      <c r="B164" s="4"/>
      <c r="C164" s="4"/>
      <c r="E164" s="4"/>
      <c r="F164" s="4"/>
    </row>
    <row r="165" ht="15.75" customHeight="1">
      <c r="A165" s="4"/>
      <c r="B165" s="4"/>
      <c r="C165" s="4"/>
      <c r="E165" s="4"/>
      <c r="F165" s="4"/>
    </row>
    <row r="166" ht="15.75" customHeight="1">
      <c r="A166" s="4"/>
      <c r="B166" s="4"/>
      <c r="C166" s="4"/>
      <c r="E166" s="4"/>
      <c r="F166" s="4"/>
    </row>
    <row r="167" ht="15.75" customHeight="1">
      <c r="A167" s="4"/>
      <c r="B167" s="4"/>
      <c r="C167" s="4"/>
      <c r="E167" s="4"/>
      <c r="F167" s="4"/>
    </row>
    <row r="168" ht="15.75" customHeight="1">
      <c r="A168" s="4"/>
      <c r="B168" s="4"/>
      <c r="C168" s="4"/>
      <c r="E168" s="4"/>
      <c r="F168" s="4"/>
    </row>
    <row r="169" ht="15.75" customHeight="1">
      <c r="A169" s="4"/>
      <c r="B169" s="4"/>
      <c r="C169" s="4"/>
      <c r="E169" s="4"/>
      <c r="F169" s="4"/>
    </row>
    <row r="170" ht="15.75" customHeight="1">
      <c r="A170" s="4"/>
      <c r="B170" s="4"/>
      <c r="C170" s="4"/>
      <c r="E170" s="4"/>
      <c r="F170" s="4"/>
    </row>
    <row r="171" ht="15.75" customHeight="1">
      <c r="A171" s="4"/>
      <c r="B171" s="4"/>
      <c r="C171" s="4"/>
      <c r="E171" s="4"/>
      <c r="F171" s="4"/>
    </row>
    <row r="172" ht="15.75" customHeight="1">
      <c r="A172" s="4"/>
      <c r="B172" s="4"/>
      <c r="C172" s="4"/>
      <c r="E172" s="4"/>
      <c r="F172" s="4"/>
    </row>
    <row r="173" ht="15.75" customHeight="1">
      <c r="A173" s="4"/>
      <c r="B173" s="4"/>
      <c r="C173" s="4"/>
      <c r="E173" s="4"/>
      <c r="F173" s="4"/>
    </row>
    <row r="174" ht="15.75" customHeight="1">
      <c r="A174" s="4"/>
      <c r="B174" s="4"/>
      <c r="C174" s="4"/>
      <c r="E174" s="4"/>
      <c r="F174" s="4"/>
    </row>
    <row r="175" ht="15.75" customHeight="1">
      <c r="A175" s="4"/>
      <c r="B175" s="4"/>
      <c r="C175" s="4"/>
      <c r="E175" s="4"/>
      <c r="F175" s="4"/>
    </row>
    <row r="176" ht="15.75" customHeight="1">
      <c r="A176" s="4"/>
      <c r="B176" s="4"/>
      <c r="C176" s="4"/>
      <c r="E176" s="4"/>
      <c r="F176" s="4"/>
    </row>
    <row r="177" ht="15.75" customHeight="1">
      <c r="A177" s="4"/>
      <c r="B177" s="4"/>
      <c r="C177" s="4"/>
      <c r="E177" s="4"/>
      <c r="F177" s="4"/>
    </row>
    <row r="178" ht="15.75" customHeight="1">
      <c r="A178" s="4"/>
      <c r="B178" s="4"/>
      <c r="C178" s="4"/>
      <c r="E178" s="4"/>
      <c r="F178" s="4"/>
    </row>
    <row r="179" ht="15.75" customHeight="1">
      <c r="A179" s="4"/>
      <c r="B179" s="4"/>
      <c r="C179" s="4"/>
      <c r="E179" s="4"/>
      <c r="F179" s="4"/>
    </row>
    <row r="180" ht="15.75" customHeight="1">
      <c r="A180" s="4"/>
      <c r="B180" s="4"/>
      <c r="C180" s="4"/>
      <c r="E180" s="4"/>
      <c r="F180" s="4"/>
    </row>
    <row r="181" ht="15.75" customHeight="1">
      <c r="A181" s="4"/>
      <c r="B181" s="4"/>
      <c r="C181" s="4"/>
      <c r="E181" s="4"/>
      <c r="F181" s="4"/>
    </row>
    <row r="182" ht="15.75" customHeight="1">
      <c r="A182" s="4"/>
      <c r="B182" s="4"/>
      <c r="C182" s="4"/>
      <c r="E182" s="4"/>
      <c r="F182" s="4"/>
    </row>
    <row r="183" ht="15.75" customHeight="1">
      <c r="A183" s="4"/>
      <c r="B183" s="4"/>
      <c r="C183" s="4"/>
      <c r="E183" s="4"/>
      <c r="F183" s="4"/>
    </row>
    <row r="184" ht="15.75" customHeight="1">
      <c r="A184" s="4"/>
      <c r="B184" s="4"/>
      <c r="C184" s="4"/>
      <c r="E184" s="4"/>
      <c r="F184" s="4"/>
    </row>
    <row r="185" ht="15.75" customHeight="1">
      <c r="A185" s="4"/>
      <c r="B185" s="4"/>
      <c r="C185" s="4"/>
      <c r="E185" s="4"/>
      <c r="F185" s="4"/>
    </row>
    <row r="186" ht="15.75" customHeight="1">
      <c r="A186" s="4"/>
      <c r="B186" s="4"/>
      <c r="C186" s="4"/>
      <c r="E186" s="4"/>
      <c r="F186" s="4"/>
    </row>
    <row r="187" ht="15.75" customHeight="1">
      <c r="A187" s="4"/>
      <c r="B187" s="4"/>
      <c r="C187" s="4"/>
      <c r="E187" s="4"/>
      <c r="F187" s="4"/>
    </row>
    <row r="188" ht="15.75" customHeight="1">
      <c r="A188" s="4"/>
      <c r="B188" s="4"/>
      <c r="C188" s="4"/>
      <c r="E188" s="4"/>
      <c r="F188" s="4"/>
    </row>
    <row r="189" ht="15.75" customHeight="1">
      <c r="A189" s="4"/>
      <c r="B189" s="4"/>
      <c r="C189" s="4"/>
      <c r="E189" s="4"/>
      <c r="F189" s="4"/>
    </row>
    <row r="190" ht="15.75" customHeight="1">
      <c r="A190" s="4"/>
      <c r="B190" s="4"/>
      <c r="C190" s="4"/>
      <c r="E190" s="4"/>
      <c r="F190" s="4"/>
    </row>
    <row r="191" ht="15.75" customHeight="1">
      <c r="A191" s="4"/>
      <c r="B191" s="4"/>
      <c r="C191" s="4"/>
      <c r="E191" s="4"/>
      <c r="F191" s="4"/>
    </row>
    <row r="192" ht="15.75" customHeight="1">
      <c r="A192" s="4"/>
      <c r="B192" s="4"/>
      <c r="C192" s="4"/>
      <c r="E192" s="4"/>
      <c r="F192" s="4"/>
    </row>
    <row r="193" ht="15.75" customHeight="1">
      <c r="A193" s="4"/>
      <c r="B193" s="4"/>
      <c r="C193" s="4"/>
      <c r="E193" s="4"/>
      <c r="F193" s="4"/>
    </row>
    <row r="194" ht="15.75" customHeight="1">
      <c r="A194" s="4"/>
      <c r="B194" s="4"/>
      <c r="C194" s="4"/>
      <c r="E194" s="4"/>
      <c r="F194" s="4"/>
    </row>
    <row r="195" ht="15.75" customHeight="1">
      <c r="A195" s="4"/>
      <c r="B195" s="4"/>
      <c r="C195" s="4"/>
      <c r="E195" s="4"/>
      <c r="F195" s="4"/>
    </row>
    <row r="196" ht="15.75" customHeight="1">
      <c r="A196" s="4"/>
      <c r="B196" s="4"/>
      <c r="C196" s="4"/>
      <c r="E196" s="4"/>
      <c r="F196" s="4"/>
    </row>
    <row r="197" ht="15.75" customHeight="1">
      <c r="A197" s="4"/>
      <c r="B197" s="4"/>
      <c r="C197" s="4"/>
      <c r="E197" s="4"/>
      <c r="F197" s="4"/>
    </row>
    <row r="198" ht="15.75" customHeight="1">
      <c r="A198" s="4"/>
      <c r="B198" s="4"/>
      <c r="C198" s="4"/>
      <c r="E198" s="4"/>
      <c r="F198" s="4"/>
    </row>
    <row r="199" ht="15.75" customHeight="1">
      <c r="A199" s="4"/>
      <c r="B199" s="4"/>
      <c r="C199" s="4"/>
      <c r="E199" s="4"/>
      <c r="F199" s="4"/>
    </row>
    <row r="200" ht="15.75" customHeight="1">
      <c r="A200" s="4"/>
      <c r="B200" s="4"/>
      <c r="C200" s="4"/>
      <c r="E200" s="4"/>
      <c r="F200" s="4"/>
    </row>
    <row r="201" ht="15.75" customHeight="1">
      <c r="A201" s="4"/>
      <c r="B201" s="4"/>
      <c r="C201" s="4"/>
      <c r="E201" s="4"/>
      <c r="F201" s="4"/>
    </row>
    <row r="202" ht="15.75" customHeight="1">
      <c r="A202" s="4"/>
      <c r="B202" s="4"/>
      <c r="C202" s="4"/>
      <c r="E202" s="4"/>
      <c r="F202" s="4"/>
    </row>
    <row r="203" ht="15.75" customHeight="1">
      <c r="A203" s="4"/>
      <c r="B203" s="4"/>
      <c r="C203" s="4"/>
      <c r="E203" s="4"/>
      <c r="F203" s="4"/>
    </row>
    <row r="204" ht="15.75" customHeight="1">
      <c r="A204" s="4"/>
      <c r="B204" s="4"/>
      <c r="C204" s="4"/>
      <c r="E204" s="4"/>
      <c r="F204" s="4"/>
    </row>
    <row r="205" ht="15.75" customHeight="1">
      <c r="A205" s="4"/>
      <c r="B205" s="4"/>
      <c r="C205" s="4"/>
      <c r="E205" s="4"/>
      <c r="F205" s="4"/>
    </row>
    <row r="206" ht="15.75" customHeight="1">
      <c r="A206" s="4"/>
      <c r="B206" s="4"/>
      <c r="C206" s="4"/>
      <c r="E206" s="4"/>
      <c r="F206" s="4"/>
    </row>
    <row r="207" ht="15.75" customHeight="1">
      <c r="A207" s="4"/>
      <c r="B207" s="4"/>
      <c r="C207" s="4"/>
      <c r="E207" s="4"/>
      <c r="F207" s="4"/>
    </row>
    <row r="208" ht="15.75" customHeight="1">
      <c r="A208" s="4"/>
      <c r="B208" s="4"/>
      <c r="C208" s="4"/>
      <c r="E208" s="4"/>
      <c r="F208" s="4"/>
    </row>
    <row r="209" ht="15.75" customHeight="1">
      <c r="A209" s="4"/>
      <c r="B209" s="4"/>
      <c r="C209" s="4"/>
      <c r="E209" s="4"/>
      <c r="F209" s="4"/>
    </row>
    <row r="210" ht="15.75" customHeight="1">
      <c r="A210" s="4"/>
      <c r="B210" s="4"/>
      <c r="C210" s="4"/>
      <c r="E210" s="4"/>
      <c r="F210" s="4"/>
    </row>
    <row r="211" ht="15.75" customHeight="1">
      <c r="A211" s="4"/>
      <c r="B211" s="4"/>
      <c r="C211" s="4"/>
      <c r="E211" s="4"/>
      <c r="F211" s="4"/>
    </row>
    <row r="212" ht="15.75" customHeight="1">
      <c r="A212" s="4"/>
      <c r="B212" s="4"/>
      <c r="C212" s="4"/>
      <c r="E212" s="4"/>
      <c r="F212" s="4"/>
    </row>
    <row r="213" ht="15.75" customHeight="1">
      <c r="A213" s="4"/>
      <c r="B213" s="4"/>
      <c r="C213" s="4"/>
      <c r="E213" s="4"/>
      <c r="F213" s="4"/>
    </row>
    <row r="214" ht="15.75" customHeight="1">
      <c r="A214" s="4"/>
      <c r="B214" s="4"/>
      <c r="C214" s="4"/>
      <c r="E214" s="4"/>
      <c r="F214" s="4"/>
    </row>
    <row r="215" ht="15.75" customHeight="1">
      <c r="A215" s="4"/>
      <c r="B215" s="4"/>
      <c r="C215" s="4"/>
      <c r="E215" s="4"/>
      <c r="F215" s="4"/>
    </row>
    <row r="216" ht="15.75" customHeight="1">
      <c r="A216" s="4"/>
      <c r="B216" s="4"/>
      <c r="C216" s="4"/>
      <c r="E216" s="4"/>
      <c r="F216" s="4"/>
    </row>
    <row r="217" ht="15.75" customHeight="1">
      <c r="A217" s="4"/>
      <c r="B217" s="4"/>
      <c r="C217" s="4"/>
      <c r="E217" s="4"/>
      <c r="F217" s="4"/>
    </row>
    <row r="218" ht="15.75" customHeight="1">
      <c r="A218" s="4"/>
      <c r="B218" s="4"/>
      <c r="C218" s="4"/>
      <c r="E218" s="4"/>
      <c r="F218" s="4"/>
    </row>
    <row r="219" ht="15.75" customHeight="1">
      <c r="A219" s="4"/>
      <c r="B219" s="4"/>
      <c r="C219" s="4"/>
      <c r="E219" s="4"/>
      <c r="F219" s="4"/>
    </row>
    <row r="220" ht="15.75" customHeight="1">
      <c r="A220" s="4"/>
      <c r="B220" s="4"/>
      <c r="C220" s="4"/>
      <c r="E220" s="4"/>
      <c r="F220" s="4"/>
    </row>
    <row r="221" ht="15.75" customHeight="1">
      <c r="A221" s="4"/>
      <c r="B221" s="4"/>
      <c r="C221" s="4"/>
      <c r="E221" s="4"/>
      <c r="F221" s="4"/>
    </row>
    <row r="222" ht="15.75" customHeight="1">
      <c r="A222" s="4"/>
      <c r="B222" s="4"/>
      <c r="C222" s="4"/>
      <c r="E222" s="4"/>
      <c r="F222" s="4"/>
    </row>
    <row r="223" ht="15.75" customHeight="1">
      <c r="A223" s="4"/>
      <c r="B223" s="4"/>
      <c r="C223" s="4"/>
      <c r="E223" s="4"/>
      <c r="F223" s="4"/>
    </row>
    <row r="224" ht="15.75" customHeight="1">
      <c r="A224" s="4"/>
      <c r="B224" s="4"/>
      <c r="C224" s="4"/>
      <c r="E224" s="4"/>
      <c r="F224" s="4"/>
    </row>
    <row r="225" ht="15.75" customHeight="1">
      <c r="A225" s="4"/>
      <c r="B225" s="4"/>
      <c r="C225" s="4"/>
      <c r="E225" s="4"/>
      <c r="F225" s="4"/>
    </row>
    <row r="226" ht="15.75" customHeight="1">
      <c r="A226" s="4"/>
      <c r="B226" s="4"/>
      <c r="C226" s="4"/>
      <c r="E226" s="4"/>
      <c r="F226" s="4"/>
    </row>
    <row r="227" ht="15.75" customHeight="1">
      <c r="A227" s="4"/>
      <c r="B227" s="4"/>
      <c r="C227" s="4"/>
      <c r="E227" s="4"/>
      <c r="F227" s="4"/>
    </row>
    <row r="228" ht="15.75" customHeight="1">
      <c r="A228" s="4"/>
      <c r="B228" s="4"/>
      <c r="C228" s="4"/>
      <c r="E228" s="4"/>
      <c r="F228" s="4"/>
    </row>
    <row r="229" ht="15.75" customHeight="1">
      <c r="A229" s="4"/>
      <c r="B229" s="4"/>
      <c r="C229" s="4"/>
      <c r="E229" s="4"/>
      <c r="F229" s="4"/>
    </row>
    <row r="230" ht="15.75" customHeight="1">
      <c r="A230" s="4"/>
      <c r="B230" s="4"/>
      <c r="C230" s="4"/>
      <c r="E230" s="4"/>
      <c r="F230" s="4"/>
    </row>
    <row r="231" ht="15.75" customHeight="1">
      <c r="A231" s="4"/>
      <c r="B231" s="4"/>
      <c r="C231" s="4"/>
      <c r="E231" s="4"/>
      <c r="F231" s="4"/>
    </row>
    <row r="232" ht="15.75" customHeight="1">
      <c r="A232" s="4"/>
      <c r="B232" s="4"/>
      <c r="C232" s="4"/>
      <c r="E232" s="4"/>
      <c r="F232" s="4"/>
    </row>
    <row r="233" ht="15.75" customHeight="1">
      <c r="A233" s="4"/>
      <c r="B233" s="4"/>
      <c r="C233" s="4"/>
      <c r="E233" s="4"/>
      <c r="F233" s="4"/>
    </row>
    <row r="234" ht="15.75" customHeight="1">
      <c r="A234" s="4"/>
      <c r="B234" s="4"/>
      <c r="C234" s="4"/>
      <c r="E234" s="4"/>
      <c r="F234" s="4"/>
    </row>
    <row r="235" ht="15.75" customHeight="1">
      <c r="A235" s="4"/>
      <c r="B235" s="4"/>
      <c r="C235" s="4"/>
      <c r="E235" s="4"/>
      <c r="F235" s="4"/>
    </row>
    <row r="236" ht="15.75" customHeight="1">
      <c r="A236" s="4"/>
      <c r="B236" s="4"/>
      <c r="C236" s="4"/>
      <c r="E236" s="4"/>
      <c r="F236" s="4"/>
    </row>
    <row r="237" ht="15.75" customHeight="1">
      <c r="A237" s="4"/>
      <c r="B237" s="4"/>
      <c r="C237" s="4"/>
      <c r="E237" s="4"/>
      <c r="F237" s="4"/>
    </row>
    <row r="238" ht="15.75" customHeight="1">
      <c r="A238" s="4"/>
      <c r="B238" s="4"/>
      <c r="C238" s="4"/>
      <c r="E238" s="4"/>
      <c r="F238" s="4"/>
    </row>
    <row r="239" ht="15.75" customHeight="1">
      <c r="A239" s="4"/>
      <c r="B239" s="4"/>
      <c r="C239" s="4"/>
      <c r="E239" s="4"/>
      <c r="F239" s="4"/>
    </row>
    <row r="240" ht="15.75" customHeight="1">
      <c r="A240" s="4"/>
      <c r="B240" s="4"/>
      <c r="C240" s="4"/>
      <c r="E240" s="4"/>
      <c r="F240" s="4"/>
    </row>
    <row r="241" ht="15.75" customHeight="1">
      <c r="A241" s="4"/>
      <c r="B241" s="4"/>
      <c r="C241" s="4"/>
      <c r="E241" s="4"/>
      <c r="F24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12.57"/>
  </cols>
  <sheetData>
    <row r="1" ht="15.75" customHeight="1">
      <c r="A1" s="10"/>
      <c r="B1" s="10">
        <v>3700.0</v>
      </c>
      <c r="C1" s="10">
        <v>3702.0</v>
      </c>
      <c r="D1" s="1">
        <v>3712.0</v>
      </c>
      <c r="E1" s="1">
        <v>3715.0</v>
      </c>
      <c r="F1" s="1">
        <v>3738.0</v>
      </c>
      <c r="H1" s="10">
        <v>9067.0</v>
      </c>
      <c r="I1" s="10">
        <v>9068.0</v>
      </c>
      <c r="J1" s="1">
        <v>9089.0</v>
      </c>
      <c r="K1" s="1">
        <v>9108.0</v>
      </c>
    </row>
    <row r="2" ht="15.75" customHeight="1">
      <c r="A2" s="4"/>
      <c r="B2" s="4" t="s">
        <v>2</v>
      </c>
      <c r="C2" s="4" t="s">
        <v>2</v>
      </c>
      <c r="D2" s="1" t="s">
        <v>2</v>
      </c>
      <c r="E2" s="1" t="s">
        <v>2</v>
      </c>
      <c r="F2" s="1" t="s">
        <v>2</v>
      </c>
      <c r="H2" s="4" t="s">
        <v>2</v>
      </c>
      <c r="I2" s="4" t="s">
        <v>2</v>
      </c>
      <c r="J2" s="1" t="s">
        <v>2</v>
      </c>
      <c r="K2" s="1" t="s">
        <v>2</v>
      </c>
    </row>
    <row r="3" ht="15.75" customHeight="1">
      <c r="A3" s="10"/>
      <c r="B3" s="10">
        <v>14.0</v>
      </c>
      <c r="C3" s="10">
        <v>13.5</v>
      </c>
      <c r="D3" s="1">
        <v>11.0</v>
      </c>
      <c r="E3" s="1">
        <v>10.5</v>
      </c>
      <c r="F3" s="1">
        <v>7.5</v>
      </c>
      <c r="H3" s="10">
        <v>11.5</v>
      </c>
      <c r="I3" s="10">
        <v>10.5</v>
      </c>
      <c r="J3" s="1">
        <v>8.5</v>
      </c>
      <c r="K3" s="1">
        <v>8.0</v>
      </c>
    </row>
    <row r="4" ht="15.75" customHeight="1">
      <c r="A4" s="10"/>
      <c r="B4" s="10">
        <v>31.4</v>
      </c>
      <c r="C4" s="10">
        <v>31.6</v>
      </c>
      <c r="D4" s="1">
        <v>25.9</v>
      </c>
      <c r="E4" s="1">
        <v>27.5</v>
      </c>
      <c r="F4" s="1">
        <v>23.8</v>
      </c>
      <c r="H4" s="10">
        <v>2.5</v>
      </c>
      <c r="I4" s="10">
        <v>5.1</v>
      </c>
      <c r="J4" s="1">
        <v>2.8</v>
      </c>
      <c r="K4" s="1">
        <v>4.5</v>
      </c>
    </row>
    <row r="5" ht="15.75" customHeight="1">
      <c r="A5" s="10"/>
      <c r="B5" s="10" t="str">
        <f t="shared" ref="B5:F5" si="1">ABS(17.1 - B4)</f>
        <v>14.3</v>
      </c>
      <c r="C5" s="10" t="str">
        <f t="shared" si="1"/>
        <v>14.5</v>
      </c>
      <c r="D5" s="1" t="str">
        <f t="shared" si="1"/>
        <v>8.8</v>
      </c>
      <c r="E5" s="1" t="str">
        <f t="shared" si="1"/>
        <v>10.4</v>
      </c>
      <c r="F5" s="1" t="str">
        <f t="shared" si="1"/>
        <v>6.7</v>
      </c>
      <c r="H5" s="10" t="str">
        <f t="shared" ref="H5:K5" si="2">ABS(0.8 - H4)</f>
        <v>1.7</v>
      </c>
      <c r="I5" s="10" t="str">
        <f t="shared" si="2"/>
        <v>4.3</v>
      </c>
      <c r="J5" s="1" t="str">
        <f t="shared" si="2"/>
        <v>2</v>
      </c>
      <c r="K5" s="1" t="str">
        <f t="shared" si="2"/>
        <v>3.7</v>
      </c>
    </row>
    <row r="6" ht="15.75" customHeight="1">
      <c r="A6" s="10"/>
      <c r="B6" s="10" t="str">
        <f t="shared" ref="B6:F6" si="3">B4 - 17.1</f>
        <v>14.3</v>
      </c>
      <c r="C6" s="10" t="str">
        <f t="shared" si="3"/>
        <v>14.5</v>
      </c>
      <c r="D6" s="1" t="str">
        <f t="shared" si="3"/>
        <v>8.8</v>
      </c>
      <c r="E6" s="1" t="str">
        <f t="shared" si="3"/>
        <v>10.4</v>
      </c>
      <c r="F6" s="1" t="str">
        <f t="shared" si="3"/>
        <v>6.7</v>
      </c>
      <c r="H6" s="10" t="str">
        <f t="shared" ref="H6:K6" si="4">0.8 - H4</f>
        <v>-1.7</v>
      </c>
      <c r="I6" s="10" t="str">
        <f t="shared" si="4"/>
        <v>-4.3</v>
      </c>
      <c r="J6" s="1" t="str">
        <f t="shared" si="4"/>
        <v>-2</v>
      </c>
      <c r="K6" s="1" t="str">
        <f t="shared" si="4"/>
        <v>-3.7</v>
      </c>
    </row>
    <row r="7" ht="15.75" customHeight="1">
      <c r="A7" s="10"/>
      <c r="B7" s="10">
        <v>1.0</v>
      </c>
      <c r="C7" s="10">
        <v>1.0</v>
      </c>
      <c r="D7" s="1">
        <v>1.0</v>
      </c>
      <c r="E7" s="1">
        <v>1.0</v>
      </c>
      <c r="F7" s="1">
        <v>1.0</v>
      </c>
      <c r="H7" s="10">
        <v>1.0</v>
      </c>
      <c r="I7" s="10">
        <v>1.0</v>
      </c>
      <c r="J7" s="1">
        <v>1.0</v>
      </c>
      <c r="K7" s="1">
        <v>1.0</v>
      </c>
    </row>
    <row r="8" ht="15.75" customHeight="1">
      <c r="A8" s="10"/>
      <c r="B8" s="10">
        <v>1.0</v>
      </c>
      <c r="C8" s="10">
        <v>1.0</v>
      </c>
      <c r="D8" s="1">
        <v>1.0</v>
      </c>
      <c r="E8" s="1">
        <v>1.0</v>
      </c>
      <c r="F8" s="1">
        <v>1.0</v>
      </c>
      <c r="H8" s="10">
        <v>1.0</v>
      </c>
      <c r="I8" s="10">
        <v>1.0</v>
      </c>
      <c r="J8" s="1">
        <v>1.0</v>
      </c>
      <c r="K8" s="1">
        <v>1.0</v>
      </c>
    </row>
    <row r="9" ht="15.75" customHeight="1">
      <c r="A9" s="10"/>
      <c r="B9" s="10">
        <v>1.0</v>
      </c>
      <c r="C9" s="10">
        <v>1.0</v>
      </c>
      <c r="D9" s="1">
        <v>1.0</v>
      </c>
      <c r="E9" s="1">
        <v>1.0</v>
      </c>
      <c r="F9" s="1">
        <v>1.0</v>
      </c>
      <c r="H9" s="10">
        <v>1.0</v>
      </c>
      <c r="I9" s="10">
        <v>1.0</v>
      </c>
      <c r="J9" s="1">
        <v>1.0</v>
      </c>
      <c r="K9" s="1">
        <v>1.0</v>
      </c>
    </row>
    <row r="10" ht="15.75" customHeight="1">
      <c r="A10" s="10"/>
      <c r="B10" s="10">
        <v>1.0</v>
      </c>
      <c r="C10" s="10">
        <v>1.0</v>
      </c>
      <c r="D10" s="1">
        <v>1.0</v>
      </c>
      <c r="E10" s="1">
        <v>1.0</v>
      </c>
      <c r="F10" s="1">
        <v>1.0</v>
      </c>
      <c r="H10" s="10">
        <v>1.0</v>
      </c>
      <c r="I10" s="10">
        <v>1.0</v>
      </c>
      <c r="J10" s="1">
        <v>1.0</v>
      </c>
      <c r="K10" s="1">
        <v>1.0</v>
      </c>
    </row>
    <row r="11" ht="15.75" customHeight="1">
      <c r="A11" s="10"/>
      <c r="B11" s="10">
        <v>1.0</v>
      </c>
      <c r="C11" s="10">
        <v>1.0</v>
      </c>
      <c r="D11" s="1">
        <v>1.0</v>
      </c>
      <c r="E11" s="1">
        <v>1.0</v>
      </c>
      <c r="F11" s="1">
        <v>1.0</v>
      </c>
      <c r="H11" s="10">
        <v>1.0</v>
      </c>
      <c r="I11" s="10">
        <v>1.0</v>
      </c>
      <c r="J11" s="1">
        <v>1.0</v>
      </c>
      <c r="K11" s="1">
        <v>1.0</v>
      </c>
    </row>
    <row r="12" ht="15.75" customHeight="1">
      <c r="A12" s="10"/>
      <c r="B12" s="10">
        <v>1.0</v>
      </c>
      <c r="C12" s="10">
        <v>1.0</v>
      </c>
      <c r="D12" s="1">
        <v>1.0</v>
      </c>
      <c r="E12" s="1">
        <v>1.0</v>
      </c>
      <c r="F12" s="1">
        <v>1.0</v>
      </c>
      <c r="H12" s="10">
        <v>1.0</v>
      </c>
      <c r="I12" s="10">
        <v>1.0</v>
      </c>
      <c r="J12" s="1">
        <v>1.0</v>
      </c>
      <c r="K12" s="1">
        <v>1.0</v>
      </c>
    </row>
    <row r="13" ht="15.75" customHeight="1">
      <c r="A13" s="10"/>
      <c r="B13" s="10">
        <v>1.0</v>
      </c>
      <c r="C13" s="10">
        <v>1.0</v>
      </c>
      <c r="D13" s="1">
        <v>1.0</v>
      </c>
      <c r="E13" s="1">
        <v>1.0</v>
      </c>
      <c r="F13" s="1">
        <v>1.0</v>
      </c>
      <c r="H13" s="10">
        <v>1.0</v>
      </c>
      <c r="I13" s="10">
        <v>1.0</v>
      </c>
      <c r="J13" s="1">
        <v>1.0</v>
      </c>
      <c r="K13" s="1">
        <v>1.0</v>
      </c>
    </row>
    <row r="14" ht="15.75" customHeight="1">
      <c r="A14" s="10"/>
      <c r="B14" s="10">
        <v>1.0</v>
      </c>
      <c r="C14" s="10">
        <v>1.0</v>
      </c>
      <c r="D14" s="1">
        <v>1.0</v>
      </c>
      <c r="E14" s="1">
        <v>1.0</v>
      </c>
      <c r="F14" s="1">
        <v>1.0</v>
      </c>
      <c r="H14" s="10">
        <v>1.0</v>
      </c>
      <c r="I14" s="10">
        <v>1.0</v>
      </c>
      <c r="J14" s="1">
        <v>1.0</v>
      </c>
      <c r="K14" s="1">
        <v>1.0</v>
      </c>
    </row>
    <row r="15" ht="15.75" customHeight="1">
      <c r="A15" s="10"/>
      <c r="B15" s="10">
        <v>0.0</v>
      </c>
      <c r="C15" s="10">
        <v>0.0</v>
      </c>
      <c r="D15" s="1">
        <v>0.0</v>
      </c>
      <c r="E15" s="1">
        <v>0.0</v>
      </c>
      <c r="F15" s="1">
        <v>0.0</v>
      </c>
      <c r="H15" s="10">
        <v>0.0</v>
      </c>
      <c r="I15" s="10">
        <v>0.0</v>
      </c>
      <c r="J15" s="10">
        <v>0.0</v>
      </c>
      <c r="K15" s="10">
        <v>0.0</v>
      </c>
    </row>
    <row r="16" ht="15.75" customHeight="1">
      <c r="A16" s="10"/>
      <c r="B16" s="10">
        <v>0.0</v>
      </c>
      <c r="C16" s="10">
        <v>0.0</v>
      </c>
      <c r="D16" s="1">
        <v>0.0</v>
      </c>
      <c r="E16" s="1">
        <v>0.0</v>
      </c>
      <c r="F16" s="1">
        <v>0.0</v>
      </c>
      <c r="H16" s="10">
        <v>0.0</v>
      </c>
      <c r="I16" s="10">
        <v>0.0</v>
      </c>
      <c r="J16" s="1">
        <v>0.5</v>
      </c>
      <c r="K16" s="1">
        <v>0.0</v>
      </c>
    </row>
    <row r="17" ht="15.75" customHeight="1">
      <c r="A17" s="4"/>
      <c r="B17" s="4" t="s">
        <v>27</v>
      </c>
      <c r="C17" s="4" t="s">
        <v>27</v>
      </c>
      <c r="D17" s="1" t="s">
        <v>31</v>
      </c>
      <c r="E17" s="1" t="s">
        <v>32</v>
      </c>
      <c r="F17" s="1" t="s">
        <v>32</v>
      </c>
      <c r="H17" s="4" t="s">
        <v>73</v>
      </c>
      <c r="I17" s="4" t="s">
        <v>29</v>
      </c>
      <c r="J17" s="1" t="s">
        <v>29</v>
      </c>
      <c r="K17" s="1" t="s">
        <v>75</v>
      </c>
      <c r="L17" s="5">
        <v>0.25555</v>
      </c>
    </row>
    <row r="18" ht="15.75" customHeight="1">
      <c r="A18" s="10"/>
      <c r="B18" s="10">
        <v>0.0</v>
      </c>
      <c r="C18" s="10">
        <v>0.0</v>
      </c>
      <c r="D18" s="1">
        <v>0.0</v>
      </c>
      <c r="E18" s="1">
        <v>0.0</v>
      </c>
      <c r="F18" s="1">
        <v>0.0</v>
      </c>
      <c r="H18" s="10">
        <v>0.0</v>
      </c>
      <c r="I18" s="10">
        <v>0.0</v>
      </c>
      <c r="J18" s="1">
        <v>0.0</v>
      </c>
      <c r="K18" s="1">
        <v>0.0</v>
      </c>
    </row>
    <row r="19" ht="15.75" customHeight="1">
      <c r="A19" s="10"/>
      <c r="B19" s="10">
        <v>1520.0</v>
      </c>
      <c r="C19" s="10">
        <v>1015.0</v>
      </c>
      <c r="D19" s="1">
        <v>1523.0</v>
      </c>
      <c r="E19" s="1">
        <v>2239.0</v>
      </c>
      <c r="F19" s="1">
        <v>1016.0</v>
      </c>
      <c r="H19" s="10">
        <v>2052.0</v>
      </c>
      <c r="I19" s="10">
        <v>1009.0</v>
      </c>
      <c r="J19" s="1">
        <v>1007.0</v>
      </c>
      <c r="K19" s="1">
        <v>3037.0</v>
      </c>
    </row>
    <row r="20" ht="15.75" customHeight="1">
      <c r="A20" s="4"/>
      <c r="B20" s="4" t="s">
        <v>37</v>
      </c>
      <c r="C20" s="4" t="s">
        <v>38</v>
      </c>
      <c r="D20" s="1" t="s">
        <v>37</v>
      </c>
      <c r="E20" s="1" t="s">
        <v>40</v>
      </c>
      <c r="F20" s="1" t="s">
        <v>38</v>
      </c>
      <c r="H20" s="4" t="s">
        <v>79</v>
      </c>
      <c r="I20" s="4" t="s">
        <v>80</v>
      </c>
      <c r="J20" s="1" t="s">
        <v>80</v>
      </c>
      <c r="K20" s="1" t="s">
        <v>81</v>
      </c>
    </row>
    <row r="21" ht="15.75" customHeight="1">
      <c r="A21" s="4"/>
      <c r="B21" s="13">
        <v>0.025</v>
      </c>
      <c r="C21" s="13"/>
      <c r="D21" s="5"/>
      <c r="E21" s="5"/>
      <c r="F21" s="5"/>
      <c r="G21" s="5"/>
      <c r="H21" s="13">
        <v>0.022</v>
      </c>
      <c r="I21" s="13">
        <v>0.031</v>
      </c>
      <c r="J21" s="5">
        <v>0.031</v>
      </c>
      <c r="K21" s="5">
        <v>0.018</v>
      </c>
    </row>
    <row r="22" ht="15.75" customHeight="1">
      <c r="A22" s="4" t="s">
        <v>86</v>
      </c>
      <c r="B22" s="1" t="str">
        <f t="shared" ref="B22:F22" si="5">0.2*SQRT(B3) + 134.6 / SQRT(B19)</f>
        <v>4.200748632</v>
      </c>
      <c r="C22" s="1" t="str">
        <f t="shared" si="5"/>
        <v>4.959704165</v>
      </c>
      <c r="D22" s="1" t="str">
        <f t="shared" si="5"/>
        <v>4.112340157</v>
      </c>
      <c r="E22" s="1" t="str">
        <f t="shared" si="5"/>
        <v>3.492653159</v>
      </c>
      <c r="F22" s="1" t="str">
        <f t="shared" si="5"/>
        <v>4.770500126</v>
      </c>
      <c r="H22" s="1" t="str">
        <f t="shared" ref="H22:K22" si="6">0.2*SQRT(H3) + 134.6 / SQRT(H19)</f>
        <v>3.649600586</v>
      </c>
      <c r="I22" s="1" t="str">
        <f t="shared" si="6"/>
        <v>4.885474211</v>
      </c>
      <c r="J22" s="1" t="str">
        <f t="shared" si="6"/>
        <v>4.824701188</v>
      </c>
      <c r="K22" s="1" t="str">
        <f t="shared" si="6"/>
        <v>3.008118452</v>
      </c>
    </row>
    <row r="23" ht="15.75" customHeight="1">
      <c r="A23" s="4" t="s">
        <v>87</v>
      </c>
      <c r="B23" s="4" t="str">
        <f t="shared" ref="B23:F23" si="7">B5-B22</f>
        <v>10.09925137</v>
      </c>
      <c r="C23" s="4" t="str">
        <f t="shared" si="7"/>
        <v>9.540295835</v>
      </c>
      <c r="D23" s="4" t="str">
        <f t="shared" si="7"/>
        <v>4.687659843</v>
      </c>
      <c r="E23" s="4" t="str">
        <f t="shared" si="7"/>
        <v>6.907346841</v>
      </c>
      <c r="F23" s="4" t="str">
        <f t="shared" si="7"/>
        <v>1.929499874</v>
      </c>
      <c r="G23" s="4"/>
      <c r="H23" s="4" t="str">
        <f t="shared" ref="H23:K23" si="8">H5-H22</f>
        <v>-1.949600586</v>
      </c>
      <c r="I23" s="4" t="str">
        <f t="shared" si="8"/>
        <v>-0.5854742115</v>
      </c>
      <c r="J23" s="4" t="str">
        <f t="shared" si="8"/>
        <v>-2.824701188</v>
      </c>
      <c r="K23" s="4" t="str">
        <f t="shared" si="8"/>
        <v>0.6918815481</v>
      </c>
    </row>
    <row r="24" ht="15.75" customHeight="1">
      <c r="A24" s="4" t="s">
        <v>88</v>
      </c>
      <c r="B24" s="4" t="str">
        <f t="shared" ref="B24:F24" si="9">B6</f>
        <v>14.3</v>
      </c>
      <c r="C24" s="4" t="str">
        <f t="shared" si="9"/>
        <v>14.5</v>
      </c>
      <c r="D24" s="4" t="str">
        <f t="shared" si="9"/>
        <v>8.8</v>
      </c>
      <c r="E24" s="4" t="str">
        <f t="shared" si="9"/>
        <v>10.4</v>
      </c>
      <c r="F24" s="4" t="str">
        <f t="shared" si="9"/>
        <v>6.7</v>
      </c>
      <c r="G24" s="4"/>
      <c r="H24" s="4" t="str">
        <f t="shared" ref="H24:K24" si="10">H6</f>
        <v>-1.7</v>
      </c>
      <c r="I24" s="4" t="str">
        <f t="shared" si="10"/>
        <v>-4.3</v>
      </c>
      <c r="J24" s="4" t="str">
        <f t="shared" si="10"/>
        <v>-2</v>
      </c>
      <c r="K24" s="4" t="str">
        <f t="shared" si="10"/>
        <v>-3.7</v>
      </c>
    </row>
    <row r="25" ht="15.75" customHeight="1">
      <c r="A25" s="1" t="s">
        <v>89</v>
      </c>
      <c r="B25" s="1" t="str">
        <f t="shared" ref="B25:F25" si="11">0.84^7</f>
        <v>0.2950903466</v>
      </c>
      <c r="C25" s="1" t="str">
        <f t="shared" si="11"/>
        <v>0.2950903466</v>
      </c>
      <c r="D25" s="1" t="str">
        <f t="shared" si="11"/>
        <v>0.2950903466</v>
      </c>
      <c r="E25" s="1" t="str">
        <f t="shared" si="11"/>
        <v>0.2950903466</v>
      </c>
      <c r="F25" s="1" t="str">
        <f t="shared" si="11"/>
        <v>0.2950903466</v>
      </c>
      <c r="H25" s="1" t="str">
        <f t="shared" ref="H25:K25" si="12">0.84^2</f>
        <v>0.7056</v>
      </c>
      <c r="I25" s="1" t="str">
        <f t="shared" si="12"/>
        <v>0.7056</v>
      </c>
      <c r="J25" s="1" t="str">
        <f t="shared" si="12"/>
        <v>0.7056</v>
      </c>
      <c r="K25" s="1" t="str">
        <f t="shared" si="12"/>
        <v>0.7056</v>
      </c>
    </row>
    <row r="26" ht="15.75" customHeight="1">
      <c r="A26" s="1" t="s">
        <v>93</v>
      </c>
      <c r="B26" s="1" t="str">
        <f t="shared" ref="B26:F26" si="13">B23*B25</f>
        <v>2.980191586</v>
      </c>
      <c r="C26" s="1" t="str">
        <f t="shared" si="13"/>
        <v>2.815249204</v>
      </c>
      <c r="D26" s="1" t="str">
        <f t="shared" si="13"/>
        <v>1.383283168</v>
      </c>
      <c r="E26" s="1" t="str">
        <f t="shared" si="13"/>
        <v>2.038291373</v>
      </c>
      <c r="F26" s="1" t="str">
        <f t="shared" si="13"/>
        <v>0.5693767865</v>
      </c>
      <c r="H26" s="1" t="str">
        <f t="shared" ref="H26:K26" si="14">H23*H25</f>
        <v>-1.375638173</v>
      </c>
      <c r="I26" s="1" t="str">
        <f t="shared" si="14"/>
        <v>-0.4131106036</v>
      </c>
      <c r="J26" s="1" t="str">
        <f t="shared" si="14"/>
        <v>-1.993109159</v>
      </c>
      <c r="K26" s="1" t="str">
        <f t="shared" si="14"/>
        <v>0.4881916203</v>
      </c>
    </row>
    <row r="27" ht="15.75" customHeight="1">
      <c r="A27" s="1" t="s">
        <v>94</v>
      </c>
      <c r="B27" s="1" t="str">
        <f>SUM(B26:K26)/SUM(B25:K25)</f>
        <v>1.51069097</v>
      </c>
    </row>
    <row r="28" ht="15.75" customHeight="1">
      <c r="A28" s="1" t="s">
        <v>95</v>
      </c>
      <c r="B28" s="1" t="str">
        <f t="shared" ref="B28:F28" si="15">B23-3.49</f>
        <v>6.609251368</v>
      </c>
      <c r="C28" s="1" t="str">
        <f t="shared" si="15"/>
        <v>6.050295835</v>
      </c>
      <c r="D28" s="1" t="str">
        <f t="shared" si="15"/>
        <v>1.197659843</v>
      </c>
      <c r="E28" s="1" t="str">
        <f t="shared" si="15"/>
        <v>3.417346841</v>
      </c>
      <c r="F28" s="1" t="str">
        <f t="shared" si="15"/>
        <v>-1.560500126</v>
      </c>
      <c r="H28" s="1" t="str">
        <f t="shared" ref="H28:K28" si="16">H23+1.304</f>
        <v>-0.645600586</v>
      </c>
      <c r="I28" s="1" t="str">
        <f t="shared" si="16"/>
        <v>0.7185257885</v>
      </c>
      <c r="J28" s="1" t="str">
        <f t="shared" si="16"/>
        <v>-1.520701188</v>
      </c>
      <c r="K28" s="1" t="str">
        <f t="shared" si="16"/>
        <v>1.995881548</v>
      </c>
    </row>
    <row r="29" ht="15.75" customHeight="1">
      <c r="A29" s="4" t="s">
        <v>96</v>
      </c>
      <c r="B29" s="4" t="str">
        <f t="shared" ref="B29:F29" si="17">0.8*B28+0.2*B23</f>
        <v>7.307251368</v>
      </c>
      <c r="C29" s="4" t="str">
        <f t="shared" si="17"/>
        <v>6.748295835</v>
      </c>
      <c r="D29" s="4" t="str">
        <f t="shared" si="17"/>
        <v>1.895659843</v>
      </c>
      <c r="E29" s="4" t="str">
        <f t="shared" si="17"/>
        <v>4.115346841</v>
      </c>
      <c r="F29" s="4" t="str">
        <f t="shared" si="17"/>
        <v>-0.8625001261</v>
      </c>
      <c r="H29" s="4" t="str">
        <f t="shared" ref="H29:K29" si="18">0.8*H28+0.2*H23</f>
        <v>-0.906400586</v>
      </c>
      <c r="I29" s="4" t="str">
        <f t="shared" si="18"/>
        <v>0.4577257885</v>
      </c>
      <c r="J29" s="4" t="str">
        <f t="shared" si="18"/>
        <v>-1.781501188</v>
      </c>
      <c r="K29" s="4" t="str">
        <f t="shared" si="18"/>
        <v>1.735081548</v>
      </c>
    </row>
    <row r="30" ht="15.75" customHeight="1">
      <c r="A30" s="4" t="s">
        <v>97</v>
      </c>
      <c r="B30" s="4" t="str">
        <f t="shared" ref="B30:F30" si="19">B25*B29</f>
        <v>2.156299339</v>
      </c>
      <c r="C30" s="4" t="str">
        <f t="shared" si="19"/>
        <v>1.991356957</v>
      </c>
      <c r="D30" s="4" t="str">
        <f t="shared" si="19"/>
        <v>0.55939092</v>
      </c>
      <c r="E30" s="4" t="str">
        <f t="shared" si="19"/>
        <v>1.214399126</v>
      </c>
      <c r="F30" s="4" t="str">
        <f t="shared" si="19"/>
        <v>-0.2545154611</v>
      </c>
      <c r="H30" s="4" t="str">
        <f t="shared" ref="H30:K30" si="20">H25*H29</f>
        <v>-0.6395562535</v>
      </c>
      <c r="I30" s="4" t="str">
        <f t="shared" si="20"/>
        <v>0.3229713164</v>
      </c>
      <c r="J30" s="4" t="str">
        <f t="shared" si="20"/>
        <v>-1.257027239</v>
      </c>
      <c r="K30" s="4" t="str">
        <f t="shared" si="20"/>
        <v>1.22427354</v>
      </c>
    </row>
    <row r="31" ht="15.75" customHeight="1">
      <c r="A31" s="4" t="s">
        <v>98</v>
      </c>
      <c r="B31" s="1" t="str">
        <f t="shared" ref="B31:F31" si="21">B24-7.8</f>
        <v>6.5</v>
      </c>
      <c r="C31" s="1" t="str">
        <f t="shared" si="21"/>
        <v>6.7</v>
      </c>
      <c r="D31" s="1" t="str">
        <f t="shared" si="21"/>
        <v>1</v>
      </c>
      <c r="E31" s="1" t="str">
        <f t="shared" si="21"/>
        <v>2.6</v>
      </c>
      <c r="F31" s="1" t="str">
        <f t="shared" si="21"/>
        <v>-1.1</v>
      </c>
      <c r="H31" s="10" t="str">
        <f t="shared" ref="H31:K31" si="22">H24-2.05</f>
        <v>-3.75</v>
      </c>
      <c r="I31" s="10" t="str">
        <f t="shared" si="22"/>
        <v>-6.35</v>
      </c>
      <c r="J31" s="10" t="str">
        <f t="shared" si="22"/>
        <v>-4.05</v>
      </c>
      <c r="K31" s="10" t="str">
        <f t="shared" si="22"/>
        <v>-5.75</v>
      </c>
    </row>
    <row r="32" ht="15.75" customHeight="1">
      <c r="A32" s="4" t="s">
        <v>99</v>
      </c>
      <c r="B32" s="4" t="str">
        <f t="shared" ref="B32:F32" si="23">0.8*B31+0.2*B24</f>
        <v>8.06</v>
      </c>
      <c r="C32" s="4" t="str">
        <f t="shared" si="23"/>
        <v>8.26</v>
      </c>
      <c r="D32" s="4" t="str">
        <f t="shared" si="23"/>
        <v>2.56</v>
      </c>
      <c r="E32" s="4" t="str">
        <f t="shared" si="23"/>
        <v>4.16</v>
      </c>
      <c r="F32" s="4" t="str">
        <f t="shared" si="23"/>
        <v>0.46</v>
      </c>
      <c r="H32" s="10" t="str">
        <f t="shared" ref="H32:K32" si="24">0.8*H31+0.2*H24</f>
        <v>-3.34</v>
      </c>
      <c r="I32" s="10" t="str">
        <f t="shared" si="24"/>
        <v>-5.94</v>
      </c>
      <c r="J32" s="10" t="str">
        <f t="shared" si="24"/>
        <v>-3.64</v>
      </c>
      <c r="K32" s="10" t="str">
        <f t="shared" si="24"/>
        <v>-5.34</v>
      </c>
    </row>
    <row r="33" ht="15.75" customHeight="1">
      <c r="A33" s="4" t="s">
        <v>100</v>
      </c>
      <c r="B33" s="4" t="str">
        <f t="shared" ref="B33:F33" si="25">B25*B32</f>
        <v>2.378428193</v>
      </c>
      <c r="C33" s="4" t="str">
        <f t="shared" si="25"/>
        <v>2.437446263</v>
      </c>
      <c r="D33" s="4" t="str">
        <f t="shared" si="25"/>
        <v>0.7554312872</v>
      </c>
      <c r="E33" s="4" t="str">
        <f t="shared" si="25"/>
        <v>1.227575842</v>
      </c>
      <c r="F33" s="4" t="str">
        <f t="shared" si="25"/>
        <v>0.1357415594</v>
      </c>
      <c r="H33" s="10" t="str">
        <f t="shared" ref="H33:K33" si="26">H25*H32</f>
        <v>-2.356704</v>
      </c>
      <c r="I33" s="10" t="str">
        <f t="shared" si="26"/>
        <v>-4.191264</v>
      </c>
      <c r="J33" s="10" t="str">
        <f t="shared" si="26"/>
        <v>-2.568384</v>
      </c>
      <c r="K33" s="10" t="str">
        <f t="shared" si="26"/>
        <v>-3.767904</v>
      </c>
    </row>
    <row r="34" ht="15.75" customHeight="1">
      <c r="A34" s="4" t="s">
        <v>101</v>
      </c>
      <c r="B34" s="4" t="str">
        <f>SUM(B30:K30)/SUM(B25:K25)</f>
        <v>1.237267494</v>
      </c>
      <c r="C34" s="4"/>
      <c r="E34" s="4"/>
      <c r="F34" s="4"/>
      <c r="H34" s="4"/>
      <c r="I34" s="4"/>
    </row>
    <row r="35" ht="15.75" customHeight="1">
      <c r="A35" s="4" t="s">
        <v>102</v>
      </c>
      <c r="B35" s="4" t="str">
        <f>ABS(SUM(B33:K33)/SUM(B25:K25))</f>
        <v>1.384327154</v>
      </c>
      <c r="C35" s="4"/>
      <c r="E35" s="4"/>
      <c r="F35" s="4"/>
      <c r="H35" s="4"/>
      <c r="I35" s="4"/>
    </row>
    <row r="36" ht="15.75" customHeight="1">
      <c r="A36" s="4" t="s">
        <v>103</v>
      </c>
      <c r="B36" s="4" t="str">
        <f>AVERAGE(B34:B35)</f>
        <v>1.310797324</v>
      </c>
      <c r="C36" s="4"/>
      <c r="H36" s="4"/>
      <c r="I36" s="4"/>
    </row>
    <row r="37" ht="15.75" customHeight="1">
      <c r="A37" s="4"/>
      <c r="B37" s="4"/>
      <c r="C37" s="4"/>
      <c r="H37" s="4"/>
      <c r="I37" s="4"/>
    </row>
    <row r="38" ht="15.75" customHeight="1">
      <c r="A38" s="4"/>
      <c r="B38" s="4"/>
      <c r="C38" s="4"/>
      <c r="H38" s="4"/>
      <c r="I38" s="4"/>
    </row>
    <row r="39" ht="15.75" customHeight="1">
      <c r="A39" s="1" t="s">
        <v>104</v>
      </c>
      <c r="B39" s="1" t="str">
        <f t="shared" ref="B39:F39" si="27">SUM(B7:B16)*B25 </f>
        <v>2.360722772</v>
      </c>
      <c r="C39" s="1" t="str">
        <f t="shared" si="27"/>
        <v>2.360722772</v>
      </c>
      <c r="D39" s="1" t="str">
        <f t="shared" si="27"/>
        <v>2.360722772</v>
      </c>
      <c r="E39" s="1" t="str">
        <f t="shared" si="27"/>
        <v>2.360722772</v>
      </c>
      <c r="F39" s="1" t="str">
        <f t="shared" si="27"/>
        <v>2.360722772</v>
      </c>
      <c r="H39" s="1" t="str">
        <f t="shared" ref="H39:K39" si="28">SUM(H7:H16)*H25 </f>
        <v>5.6448</v>
      </c>
      <c r="I39" s="1" t="str">
        <f t="shared" si="28"/>
        <v>5.6448</v>
      </c>
      <c r="J39" s="1" t="str">
        <f t="shared" si="28"/>
        <v>5.9976</v>
      </c>
      <c r="K39" s="1" t="str">
        <f t="shared" si="28"/>
        <v>5.6448</v>
      </c>
    </row>
    <row r="40" ht="15.75" customHeight="1">
      <c r="A40" s="1" t="s">
        <v>105</v>
      </c>
      <c r="B40" s="1" t="str">
        <f>SUM(B39:K39)/SUM(B25:K25)</f>
        <v>8.082087522</v>
      </c>
      <c r="E40" s="4"/>
      <c r="F40" s="4"/>
      <c r="I40" s="4"/>
    </row>
    <row r="41" ht="15.75" customHeight="1">
      <c r="A41" s="4"/>
      <c r="B41" s="1" t="str">
        <f>B40*0.7+L17*2+B18</f>
        <v>6.168561266</v>
      </c>
      <c r="C41" s="4"/>
      <c r="H41" s="4"/>
      <c r="I41" s="4"/>
    </row>
    <row r="42" ht="15.75" customHeight="1">
      <c r="A42" s="4"/>
      <c r="B42" s="4"/>
      <c r="C42" s="4"/>
      <c r="H42" s="4"/>
      <c r="I42" s="4"/>
    </row>
    <row r="43" ht="15.75" customHeight="1">
      <c r="A43" s="4"/>
      <c r="B43" s="4"/>
      <c r="C43" s="4"/>
      <c r="H43" s="4"/>
      <c r="I43" s="4"/>
    </row>
    <row r="44" ht="15.75" customHeight="1">
      <c r="A44" s="4"/>
      <c r="B44" s="4"/>
      <c r="C44" s="4"/>
      <c r="H44" s="4"/>
      <c r="I44" s="4"/>
    </row>
    <row r="45" ht="15.75" customHeight="1">
      <c r="A45" s="4"/>
      <c r="B45" s="4"/>
      <c r="C45" s="4"/>
      <c r="H45" s="4"/>
      <c r="I45" s="4"/>
    </row>
    <row r="46" ht="15.75" customHeight="1">
      <c r="A46" s="4"/>
      <c r="B46" s="4"/>
      <c r="C46" s="4"/>
      <c r="H46" s="4"/>
      <c r="I46" s="4"/>
    </row>
    <row r="47" ht="15.75" customHeight="1">
      <c r="A47" s="4"/>
      <c r="B47" s="4"/>
      <c r="C47" s="4"/>
      <c r="H47" s="4"/>
      <c r="I47" s="4"/>
    </row>
    <row r="48" ht="15.75" customHeight="1">
      <c r="A48" s="4"/>
      <c r="B48" s="4"/>
      <c r="C48" s="4"/>
      <c r="H48" s="4"/>
      <c r="I48" s="4"/>
    </row>
    <row r="49" ht="15.75" customHeight="1">
      <c r="A49" s="4"/>
      <c r="B49" s="4"/>
      <c r="C49" s="4"/>
      <c r="H49" s="4"/>
      <c r="I49" s="4"/>
    </row>
    <row r="50" ht="15.75" customHeight="1">
      <c r="A50" s="4"/>
      <c r="B50" s="4"/>
      <c r="C50" s="4"/>
      <c r="H50" s="4"/>
      <c r="I50" s="4"/>
    </row>
    <row r="51" ht="15.75" customHeight="1">
      <c r="A51" s="4"/>
      <c r="B51" s="4"/>
      <c r="C51" s="4"/>
      <c r="H51" s="4"/>
      <c r="I51" s="4"/>
    </row>
    <row r="52" ht="15.75" customHeight="1">
      <c r="A52" s="4"/>
      <c r="B52" s="4"/>
      <c r="C52" s="4"/>
      <c r="H52" s="4"/>
      <c r="I52" s="4"/>
    </row>
    <row r="53" ht="15.75" customHeight="1">
      <c r="A53" s="4"/>
      <c r="B53" s="4"/>
      <c r="C53" s="4"/>
      <c r="H53" s="4"/>
      <c r="I53" s="4"/>
    </row>
    <row r="54" ht="15.75" customHeight="1">
      <c r="A54" s="4"/>
      <c r="B54" s="4"/>
      <c r="C54" s="4"/>
      <c r="H54" s="4"/>
      <c r="I54" s="4"/>
    </row>
    <row r="55" ht="15.75" customHeight="1">
      <c r="A55" s="4"/>
      <c r="B55" s="4"/>
      <c r="C55" s="4"/>
      <c r="H55" s="4"/>
      <c r="I55" s="4"/>
    </row>
    <row r="56" ht="15.75" customHeight="1">
      <c r="A56" s="4"/>
      <c r="B56" s="4"/>
      <c r="C56" s="4"/>
      <c r="H56" s="4"/>
      <c r="I56" s="4"/>
    </row>
    <row r="57" ht="15.75" customHeight="1">
      <c r="A57" s="4"/>
      <c r="B57" s="4"/>
      <c r="C57" s="4"/>
      <c r="H57" s="4"/>
      <c r="I57" s="4"/>
    </row>
    <row r="58" ht="15.75" customHeight="1">
      <c r="A58" s="4"/>
      <c r="B58" s="4"/>
      <c r="C58" s="4"/>
      <c r="H58" s="4"/>
      <c r="I58" s="4"/>
    </row>
    <row r="59" ht="15.75" customHeight="1">
      <c r="A59" s="4"/>
      <c r="B59" s="4"/>
      <c r="C59" s="4"/>
      <c r="H59" s="4"/>
      <c r="I59" s="4"/>
    </row>
    <row r="60" ht="15.75" customHeight="1">
      <c r="A60" s="4"/>
      <c r="B60" s="4"/>
      <c r="C60" s="4"/>
      <c r="H60" s="4"/>
      <c r="I60" s="4"/>
    </row>
    <row r="61" ht="15.75" customHeight="1">
      <c r="A61" s="4"/>
      <c r="B61" s="4"/>
      <c r="C61" s="4"/>
      <c r="H61" s="4"/>
      <c r="I61" s="4"/>
    </row>
    <row r="62" ht="15.75" customHeight="1">
      <c r="A62" s="4"/>
      <c r="B62" s="4"/>
      <c r="C62" s="4"/>
      <c r="H62" s="4"/>
      <c r="I62" s="4"/>
    </row>
    <row r="63" ht="15.75" customHeight="1">
      <c r="A63" s="4"/>
      <c r="B63" s="4"/>
      <c r="C63" s="4"/>
      <c r="H63" s="4"/>
      <c r="I63" s="4"/>
    </row>
    <row r="64" ht="15.75" customHeight="1">
      <c r="A64" s="4"/>
      <c r="B64" s="4"/>
      <c r="C64" s="4"/>
      <c r="H64" s="4"/>
      <c r="I64" s="4"/>
    </row>
    <row r="65" ht="15.75" customHeight="1">
      <c r="A65" s="4"/>
      <c r="B65" s="4"/>
      <c r="C65" s="4"/>
      <c r="H65" s="4"/>
      <c r="I65" s="4"/>
    </row>
    <row r="66" ht="15.75" customHeight="1">
      <c r="A66" s="4"/>
      <c r="B66" s="4"/>
      <c r="C66" s="4"/>
      <c r="H66" s="4"/>
      <c r="I66" s="4"/>
    </row>
    <row r="67" ht="15.75" customHeight="1">
      <c r="A67" s="4"/>
      <c r="B67" s="4"/>
      <c r="C67" s="4"/>
      <c r="H67" s="4"/>
      <c r="I67" s="4"/>
    </row>
    <row r="68" ht="15.75" customHeight="1">
      <c r="A68" s="4"/>
      <c r="B68" s="4"/>
      <c r="C68" s="4"/>
      <c r="H68" s="4"/>
      <c r="I68" s="4"/>
    </row>
    <row r="69" ht="15.75" customHeight="1">
      <c r="A69" s="4"/>
      <c r="B69" s="4"/>
      <c r="C69" s="4"/>
      <c r="H69" s="4"/>
      <c r="I69" s="4"/>
    </row>
    <row r="70" ht="15.75" customHeight="1">
      <c r="A70" s="4"/>
      <c r="B70" s="4"/>
      <c r="C70" s="4"/>
      <c r="H70" s="4"/>
      <c r="I70" s="4"/>
    </row>
    <row r="71" ht="15.75" customHeight="1">
      <c r="A71" s="4"/>
      <c r="B71" s="4"/>
      <c r="C71" s="4"/>
      <c r="H71" s="4"/>
      <c r="I71" s="4"/>
    </row>
    <row r="72" ht="15.75" customHeight="1">
      <c r="A72" s="4"/>
      <c r="B72" s="4"/>
      <c r="C72" s="4"/>
      <c r="H72" s="4"/>
      <c r="I72" s="4"/>
    </row>
    <row r="73" ht="15.75" customHeight="1">
      <c r="A73" s="4"/>
      <c r="B73" s="4"/>
      <c r="C73" s="4"/>
      <c r="H73" s="4"/>
      <c r="I73" s="4"/>
    </row>
    <row r="74" ht="15.75" customHeight="1">
      <c r="A74" s="4"/>
      <c r="B74" s="4"/>
      <c r="C74" s="4"/>
      <c r="H74" s="4"/>
      <c r="I74" s="4"/>
    </row>
    <row r="75" ht="15.75" customHeight="1">
      <c r="A75" s="4"/>
      <c r="B75" s="4"/>
      <c r="C75" s="4"/>
      <c r="H75" s="4"/>
      <c r="I75" s="4"/>
    </row>
    <row r="76" ht="15.75" customHeight="1">
      <c r="A76" s="4"/>
      <c r="B76" s="4"/>
      <c r="C76" s="4"/>
      <c r="H76" s="4"/>
      <c r="I76" s="4"/>
    </row>
    <row r="77" ht="15.75" customHeight="1">
      <c r="A77" s="4"/>
      <c r="B77" s="4"/>
      <c r="C77" s="4"/>
      <c r="H77" s="4"/>
      <c r="I77" s="4"/>
    </row>
    <row r="78" ht="15.75" customHeight="1">
      <c r="A78" s="4"/>
      <c r="B78" s="4"/>
      <c r="C78" s="4"/>
      <c r="H78" s="4"/>
      <c r="I78" s="4"/>
    </row>
    <row r="79" ht="15.75" customHeight="1">
      <c r="A79" s="4"/>
      <c r="B79" s="4"/>
      <c r="C79" s="4"/>
      <c r="H79" s="4"/>
      <c r="I79" s="4"/>
    </row>
    <row r="80" ht="15.75" customHeight="1">
      <c r="A80" s="4"/>
      <c r="B80" s="4"/>
      <c r="C80" s="4"/>
      <c r="H80" s="4"/>
      <c r="I80" s="4"/>
    </row>
    <row r="81" ht="15.75" customHeight="1">
      <c r="A81" s="4"/>
      <c r="B81" s="4"/>
      <c r="C81" s="4"/>
      <c r="H81" s="4"/>
      <c r="I81" s="4"/>
    </row>
    <row r="82" ht="15.75" customHeight="1">
      <c r="A82" s="4"/>
      <c r="B82" s="4"/>
      <c r="C82" s="4"/>
      <c r="H82" s="4"/>
      <c r="I82" s="4"/>
    </row>
    <row r="83" ht="15.75" customHeight="1">
      <c r="A83" s="4"/>
      <c r="B83" s="4"/>
      <c r="C83" s="4"/>
      <c r="H83" s="4"/>
      <c r="I83" s="4"/>
    </row>
    <row r="84" ht="15.75" customHeight="1">
      <c r="A84" s="4"/>
      <c r="B84" s="4"/>
      <c r="C84" s="4"/>
      <c r="H84" s="4"/>
      <c r="I84" s="4"/>
    </row>
    <row r="85" ht="15.75" customHeight="1">
      <c r="A85" s="4"/>
      <c r="B85" s="4"/>
      <c r="C85" s="4"/>
      <c r="H85" s="4"/>
      <c r="I85" s="4"/>
    </row>
    <row r="86" ht="15.75" customHeight="1">
      <c r="A86" s="4"/>
      <c r="B86" s="4"/>
      <c r="C86" s="4"/>
      <c r="H86" s="4"/>
      <c r="I86" s="4"/>
    </row>
    <row r="87" ht="15.75" customHeight="1">
      <c r="A87" s="4"/>
      <c r="B87" s="4"/>
      <c r="C87" s="4"/>
      <c r="H87" s="4"/>
      <c r="I87" s="4"/>
    </row>
    <row r="88" ht="15.75" customHeight="1">
      <c r="A88" s="4"/>
      <c r="B88" s="4"/>
      <c r="C88" s="4"/>
      <c r="H88" s="4"/>
      <c r="I88" s="4"/>
    </row>
    <row r="89" ht="15.75" customHeight="1">
      <c r="A89" s="4"/>
      <c r="B89" s="4"/>
      <c r="C89" s="4"/>
      <c r="H89" s="4"/>
      <c r="I89" s="4"/>
    </row>
    <row r="90" ht="15.75" customHeight="1">
      <c r="A90" s="4"/>
      <c r="B90" s="4"/>
      <c r="C90" s="4"/>
      <c r="H90" s="4"/>
      <c r="I90" s="4"/>
    </row>
    <row r="91" ht="15.75" customHeight="1">
      <c r="A91" s="4"/>
      <c r="B91" s="4"/>
      <c r="C91" s="4"/>
      <c r="H91" s="4"/>
      <c r="I91" s="4"/>
    </row>
    <row r="92" ht="15.75" customHeight="1">
      <c r="A92" s="4"/>
      <c r="B92" s="4"/>
      <c r="C92" s="4"/>
      <c r="H92" s="4"/>
      <c r="I92" s="4"/>
    </row>
    <row r="93" ht="15.75" customHeight="1">
      <c r="A93" s="4"/>
      <c r="B93" s="4"/>
      <c r="C93" s="4"/>
      <c r="H93" s="4"/>
      <c r="I93" s="4"/>
    </row>
    <row r="94" ht="15.75" customHeight="1">
      <c r="A94" s="4"/>
      <c r="B94" s="4"/>
      <c r="C94" s="4"/>
      <c r="H94" s="4"/>
      <c r="I94" s="4"/>
    </row>
    <row r="95" ht="15.75" customHeight="1">
      <c r="A95" s="4"/>
      <c r="B95" s="4"/>
      <c r="C95" s="4"/>
      <c r="H95" s="4"/>
      <c r="I95" s="4"/>
    </row>
    <row r="96" ht="15.75" customHeight="1">
      <c r="A96" s="4"/>
      <c r="B96" s="4"/>
      <c r="C96" s="4"/>
      <c r="H96" s="4"/>
      <c r="I96" s="4"/>
    </row>
    <row r="97" ht="15.75" customHeight="1">
      <c r="A97" s="4"/>
      <c r="B97" s="4"/>
      <c r="C97" s="4"/>
      <c r="H97" s="4"/>
      <c r="I97" s="4"/>
    </row>
    <row r="98" ht="15.75" customHeight="1">
      <c r="A98" s="4"/>
      <c r="B98" s="4"/>
      <c r="C98" s="4"/>
      <c r="H98" s="4"/>
      <c r="I98" s="4"/>
    </row>
    <row r="99" ht="15.75" customHeight="1">
      <c r="A99" s="4"/>
      <c r="B99" s="4"/>
      <c r="C99" s="4"/>
      <c r="H99" s="4"/>
      <c r="I99" s="4"/>
    </row>
    <row r="100" ht="15.75" customHeight="1">
      <c r="A100" s="4"/>
      <c r="B100" s="4"/>
      <c r="C100" s="4"/>
      <c r="H100" s="4"/>
      <c r="I100" s="4"/>
    </row>
    <row r="101" ht="15.75" customHeight="1">
      <c r="A101" s="4"/>
      <c r="B101" s="4"/>
      <c r="C101" s="4"/>
      <c r="H101" s="4"/>
      <c r="I101" s="4"/>
    </row>
    <row r="102" ht="15.75" customHeight="1">
      <c r="A102" s="4"/>
      <c r="B102" s="4"/>
      <c r="C102" s="4"/>
      <c r="H102" s="4"/>
      <c r="I102" s="4"/>
    </row>
    <row r="103" ht="15.75" customHeight="1">
      <c r="A103" s="4"/>
      <c r="B103" s="4"/>
      <c r="C103" s="4"/>
      <c r="H103" s="4"/>
      <c r="I103" s="4"/>
    </row>
    <row r="104" ht="15.75" customHeight="1">
      <c r="A104" s="4"/>
      <c r="B104" s="4"/>
      <c r="C104" s="4"/>
      <c r="H104" s="4"/>
      <c r="I104" s="4"/>
    </row>
    <row r="105" ht="15.75" customHeight="1">
      <c r="A105" s="4"/>
      <c r="B105" s="4"/>
      <c r="C105" s="4"/>
      <c r="H105" s="4"/>
      <c r="I105" s="4"/>
    </row>
    <row r="106" ht="15.75" customHeight="1">
      <c r="A106" s="4"/>
      <c r="B106" s="4"/>
      <c r="C106" s="4"/>
      <c r="H106" s="4"/>
      <c r="I106" s="4"/>
    </row>
    <row r="107" ht="15.75" customHeight="1">
      <c r="A107" s="4"/>
      <c r="B107" s="4"/>
      <c r="C107" s="4"/>
      <c r="H107" s="4"/>
      <c r="I107" s="4"/>
    </row>
    <row r="108" ht="15.75" customHeight="1">
      <c r="A108" s="4"/>
      <c r="B108" s="4"/>
      <c r="C108" s="4"/>
      <c r="H108" s="4"/>
      <c r="I108" s="4"/>
    </row>
    <row r="109" ht="15.75" customHeight="1">
      <c r="A109" s="4"/>
      <c r="B109" s="4"/>
      <c r="C109" s="4"/>
      <c r="H109" s="4"/>
      <c r="I109" s="4"/>
    </row>
    <row r="110" ht="15.75" customHeight="1">
      <c r="A110" s="4"/>
      <c r="B110" s="4"/>
      <c r="C110" s="4"/>
      <c r="H110" s="4"/>
      <c r="I110" s="4"/>
    </row>
    <row r="111" ht="15.75" customHeight="1">
      <c r="A111" s="4"/>
      <c r="B111" s="4"/>
      <c r="C111" s="4"/>
      <c r="H111" s="4"/>
      <c r="I111" s="4"/>
    </row>
    <row r="112" ht="15.75" customHeight="1">
      <c r="A112" s="4"/>
      <c r="B112" s="4"/>
      <c r="C112" s="4"/>
      <c r="H112" s="4"/>
      <c r="I112" s="4"/>
    </row>
    <row r="113" ht="15.75" customHeight="1">
      <c r="A113" s="4"/>
      <c r="B113" s="4"/>
      <c r="C113" s="4"/>
      <c r="H113" s="4"/>
      <c r="I113" s="4"/>
    </row>
    <row r="114" ht="15.75" customHeight="1">
      <c r="A114" s="4"/>
      <c r="B114" s="4"/>
      <c r="C114" s="4"/>
      <c r="H114" s="4"/>
      <c r="I114" s="4"/>
    </row>
    <row r="115" ht="15.75" customHeight="1">
      <c r="A115" s="4"/>
      <c r="B115" s="4"/>
      <c r="C115" s="4"/>
      <c r="H115" s="4"/>
      <c r="I115" s="4"/>
    </row>
    <row r="116" ht="15.75" customHeight="1">
      <c r="A116" s="4"/>
      <c r="B116" s="4"/>
      <c r="C116" s="4"/>
      <c r="H116" s="4"/>
      <c r="I116" s="4"/>
    </row>
    <row r="117" ht="15.75" customHeight="1">
      <c r="A117" s="4"/>
      <c r="B117" s="4"/>
      <c r="C117" s="4"/>
      <c r="H117" s="4"/>
      <c r="I117" s="4"/>
    </row>
    <row r="118" ht="15.75" customHeight="1">
      <c r="A118" s="4"/>
      <c r="B118" s="4"/>
      <c r="C118" s="4"/>
      <c r="H118" s="4"/>
      <c r="I118" s="4"/>
    </row>
    <row r="119" ht="15.75" customHeight="1">
      <c r="A119" s="4"/>
      <c r="B119" s="4"/>
      <c r="C119" s="4"/>
      <c r="H119" s="4"/>
      <c r="I119" s="4"/>
    </row>
    <row r="120" ht="15.75" customHeight="1">
      <c r="A120" s="4"/>
      <c r="B120" s="4"/>
      <c r="C120" s="4"/>
      <c r="H120" s="4"/>
      <c r="I120" s="4"/>
    </row>
    <row r="121" ht="15.75" customHeight="1">
      <c r="A121" s="4"/>
      <c r="B121" s="4"/>
      <c r="C121" s="4"/>
      <c r="H121" s="4"/>
      <c r="I121" s="4"/>
    </row>
    <row r="122" ht="15.75" customHeight="1">
      <c r="A122" s="4"/>
      <c r="B122" s="4"/>
      <c r="C122" s="4"/>
      <c r="H122" s="4"/>
      <c r="I122" s="4"/>
    </row>
    <row r="123" ht="15.75" customHeight="1">
      <c r="A123" s="4"/>
      <c r="B123" s="4"/>
      <c r="C123" s="4"/>
      <c r="H123" s="4"/>
      <c r="I123" s="4"/>
    </row>
    <row r="124" ht="15.75" customHeight="1">
      <c r="A124" s="4"/>
      <c r="B124" s="4"/>
      <c r="C124" s="4"/>
      <c r="H124" s="4"/>
      <c r="I124" s="4"/>
    </row>
    <row r="125" ht="15.75" customHeight="1">
      <c r="A125" s="4"/>
      <c r="B125" s="4"/>
      <c r="C125" s="4"/>
      <c r="H125" s="4"/>
      <c r="I125" s="4"/>
    </row>
    <row r="126" ht="15.75" customHeight="1">
      <c r="A126" s="4"/>
      <c r="B126" s="4"/>
      <c r="C126" s="4"/>
      <c r="H126" s="4"/>
      <c r="I126" s="4"/>
    </row>
    <row r="127" ht="15.75" customHeight="1">
      <c r="A127" s="4"/>
      <c r="B127" s="4"/>
      <c r="C127" s="4"/>
      <c r="H127" s="4"/>
      <c r="I127" s="4"/>
    </row>
    <row r="128" ht="15.75" customHeight="1">
      <c r="A128" s="4"/>
      <c r="B128" s="4"/>
      <c r="C128" s="4"/>
      <c r="H128" s="4"/>
      <c r="I128" s="4"/>
    </row>
    <row r="129" ht="15.75" customHeight="1">
      <c r="A129" s="4"/>
      <c r="B129" s="4"/>
      <c r="C129" s="4"/>
      <c r="H129" s="4"/>
      <c r="I129" s="4"/>
    </row>
    <row r="130" ht="15.75" customHeight="1">
      <c r="A130" s="4"/>
      <c r="B130" s="4"/>
      <c r="C130" s="4"/>
      <c r="H130" s="4"/>
      <c r="I130" s="4"/>
    </row>
    <row r="131" ht="15.75" customHeight="1">
      <c r="A131" s="4"/>
      <c r="B131" s="4"/>
      <c r="C131" s="4"/>
      <c r="H131" s="4"/>
      <c r="I131" s="4"/>
    </row>
    <row r="132" ht="15.75" customHeight="1">
      <c r="A132" s="4"/>
      <c r="B132" s="4"/>
      <c r="C132" s="4"/>
      <c r="H132" s="4"/>
      <c r="I132" s="4"/>
    </row>
    <row r="133" ht="15.75" customHeight="1">
      <c r="A133" s="4"/>
      <c r="B133" s="4"/>
      <c r="C133" s="4"/>
      <c r="H133" s="4"/>
      <c r="I133" s="4"/>
    </row>
    <row r="134" ht="15.75" customHeight="1">
      <c r="A134" s="4"/>
      <c r="B134" s="4"/>
      <c r="C134" s="4"/>
      <c r="H134" s="4"/>
      <c r="I134" s="4"/>
    </row>
    <row r="135" ht="15.75" customHeight="1">
      <c r="A135" s="4"/>
      <c r="B135" s="4"/>
      <c r="C135" s="4"/>
      <c r="H135" s="4"/>
      <c r="I135" s="4"/>
    </row>
    <row r="136" ht="15.75" customHeight="1">
      <c r="A136" s="4"/>
      <c r="B136" s="4"/>
      <c r="C136" s="4"/>
      <c r="H136" s="4"/>
      <c r="I136" s="4"/>
    </row>
    <row r="137" ht="15.75" customHeight="1">
      <c r="A137" s="4"/>
      <c r="B137" s="4"/>
      <c r="C137" s="4"/>
      <c r="H137" s="4"/>
      <c r="I137" s="4"/>
    </row>
    <row r="138" ht="15.75" customHeight="1">
      <c r="A138" s="4"/>
      <c r="B138" s="4"/>
      <c r="C138" s="4"/>
      <c r="H138" s="4"/>
      <c r="I138" s="4"/>
    </row>
    <row r="139" ht="15.75" customHeight="1">
      <c r="A139" s="4"/>
      <c r="B139" s="4"/>
      <c r="C139" s="4"/>
      <c r="H139" s="4"/>
      <c r="I139" s="4"/>
    </row>
    <row r="140" ht="15.75" customHeight="1">
      <c r="A140" s="4"/>
      <c r="B140" s="4"/>
      <c r="C140" s="4"/>
      <c r="H140" s="4"/>
      <c r="I140" s="4"/>
    </row>
    <row r="141" ht="15.75" customHeight="1">
      <c r="A141" s="4"/>
      <c r="B141" s="4"/>
      <c r="C141" s="4"/>
      <c r="H141" s="4"/>
      <c r="I141" s="4"/>
    </row>
    <row r="142" ht="15.75" customHeight="1">
      <c r="A142" s="4"/>
      <c r="B142" s="4"/>
      <c r="C142" s="4"/>
      <c r="H142" s="4"/>
      <c r="I142" s="4"/>
    </row>
    <row r="143" ht="15.75" customHeight="1">
      <c r="A143" s="4"/>
      <c r="B143" s="4"/>
      <c r="C143" s="4"/>
      <c r="H143" s="4"/>
      <c r="I143" s="4"/>
    </row>
    <row r="144" ht="15.75" customHeight="1">
      <c r="A144" s="4"/>
      <c r="B144" s="4"/>
      <c r="C144" s="4"/>
      <c r="H144" s="4"/>
      <c r="I144" s="4"/>
    </row>
    <row r="145" ht="15.75" customHeight="1">
      <c r="A145" s="4"/>
      <c r="B145" s="4"/>
      <c r="C145" s="4"/>
      <c r="H145" s="4"/>
      <c r="I145" s="4"/>
    </row>
    <row r="146" ht="15.75" customHeight="1">
      <c r="A146" s="4"/>
      <c r="B146" s="4"/>
      <c r="C146" s="4"/>
      <c r="H146" s="4"/>
      <c r="I146" s="4"/>
    </row>
    <row r="147" ht="15.75" customHeight="1">
      <c r="A147" s="4"/>
      <c r="B147" s="4"/>
      <c r="C147" s="4"/>
      <c r="H147" s="4"/>
      <c r="I147" s="4"/>
    </row>
    <row r="148" ht="15.75" customHeight="1">
      <c r="A148" s="4"/>
      <c r="B148" s="4"/>
      <c r="C148" s="4"/>
      <c r="H148" s="4"/>
      <c r="I148" s="4"/>
    </row>
    <row r="149" ht="15.75" customHeight="1">
      <c r="A149" s="4"/>
      <c r="B149" s="4"/>
      <c r="C149" s="4"/>
      <c r="H149" s="4"/>
      <c r="I149" s="4"/>
    </row>
    <row r="150" ht="15.75" customHeight="1">
      <c r="A150" s="4"/>
      <c r="B150" s="4"/>
      <c r="C150" s="4"/>
      <c r="H150" s="4"/>
      <c r="I150" s="4"/>
    </row>
    <row r="151" ht="15.75" customHeight="1">
      <c r="A151" s="4"/>
      <c r="B151" s="4"/>
      <c r="C151" s="4"/>
      <c r="H151" s="4"/>
      <c r="I151" s="4"/>
    </row>
    <row r="152" ht="15.75" customHeight="1">
      <c r="A152" s="4"/>
      <c r="B152" s="4"/>
      <c r="C152" s="4"/>
      <c r="H152" s="4"/>
      <c r="I152" s="4"/>
    </row>
    <row r="153" ht="15.75" customHeight="1">
      <c r="A153" s="4"/>
      <c r="B153" s="4"/>
      <c r="C153" s="4"/>
      <c r="H153" s="4"/>
      <c r="I153" s="4"/>
    </row>
    <row r="154" ht="15.75" customHeight="1">
      <c r="A154" s="4"/>
      <c r="B154" s="4"/>
      <c r="C154" s="4"/>
      <c r="H154" s="4"/>
      <c r="I154" s="4"/>
    </row>
    <row r="155" ht="15.75" customHeight="1">
      <c r="A155" s="4"/>
      <c r="B155" s="4"/>
      <c r="C155" s="4"/>
      <c r="H155" s="4"/>
      <c r="I155" s="4"/>
    </row>
    <row r="156" ht="15.75" customHeight="1">
      <c r="A156" s="4"/>
      <c r="B156" s="4"/>
      <c r="C156" s="4"/>
      <c r="H156" s="4"/>
      <c r="I156" s="4"/>
    </row>
    <row r="157" ht="15.75" customHeight="1">
      <c r="A157" s="4"/>
      <c r="B157" s="4"/>
      <c r="C157" s="4"/>
      <c r="H157" s="4"/>
      <c r="I157" s="4"/>
    </row>
    <row r="158" ht="15.75" customHeight="1">
      <c r="A158" s="4"/>
      <c r="B158" s="4"/>
      <c r="C158" s="4"/>
      <c r="H158" s="4"/>
      <c r="I158" s="4"/>
    </row>
    <row r="159" ht="15.75" customHeight="1">
      <c r="A159" s="4"/>
      <c r="B159" s="4"/>
      <c r="C159" s="4"/>
      <c r="H159" s="4"/>
      <c r="I159" s="4"/>
    </row>
    <row r="160" ht="15.75" customHeight="1">
      <c r="A160" s="4"/>
      <c r="B160" s="4"/>
      <c r="C160" s="4"/>
      <c r="H160" s="4"/>
      <c r="I160" s="4"/>
    </row>
    <row r="161" ht="15.75" customHeight="1">
      <c r="A161" s="4"/>
      <c r="B161" s="4"/>
      <c r="C161" s="4"/>
      <c r="H161" s="4"/>
      <c r="I161" s="4"/>
    </row>
    <row r="162" ht="15.75" customHeight="1">
      <c r="A162" s="4"/>
      <c r="B162" s="4"/>
      <c r="C162" s="4"/>
      <c r="H162" s="4"/>
      <c r="I162" s="4"/>
    </row>
    <row r="163" ht="15.75" customHeight="1">
      <c r="A163" s="4"/>
      <c r="B163" s="4"/>
      <c r="C163" s="4"/>
      <c r="H163" s="4"/>
      <c r="I163" s="4"/>
    </row>
    <row r="164" ht="15.75" customHeight="1">
      <c r="A164" s="4"/>
      <c r="B164" s="4"/>
      <c r="C164" s="4"/>
      <c r="H164" s="4"/>
      <c r="I164" s="4"/>
    </row>
    <row r="165" ht="15.75" customHeight="1">
      <c r="A165" s="4"/>
      <c r="B165" s="4"/>
      <c r="C165" s="4"/>
      <c r="H165" s="4"/>
      <c r="I165" s="4"/>
    </row>
    <row r="166" ht="15.75" customHeight="1">
      <c r="A166" s="4"/>
      <c r="B166" s="4"/>
      <c r="C166" s="4"/>
      <c r="H166" s="4"/>
      <c r="I166" s="4"/>
    </row>
    <row r="167" ht="15.75" customHeight="1">
      <c r="A167" s="4"/>
      <c r="B167" s="4"/>
      <c r="C167" s="4"/>
      <c r="H167" s="4"/>
      <c r="I167" s="4"/>
    </row>
    <row r="168" ht="15.75" customHeight="1">
      <c r="A168" s="4"/>
      <c r="B168" s="4"/>
      <c r="C168" s="4"/>
      <c r="H168" s="4"/>
      <c r="I168" s="4"/>
    </row>
    <row r="169" ht="15.75" customHeight="1">
      <c r="A169" s="4"/>
      <c r="B169" s="4"/>
      <c r="C169" s="4"/>
      <c r="H169" s="4"/>
      <c r="I169" s="4"/>
    </row>
    <row r="170" ht="15.75" customHeight="1">
      <c r="A170" s="4"/>
      <c r="B170" s="4"/>
      <c r="C170" s="4"/>
      <c r="H170" s="4"/>
      <c r="I170" s="4"/>
    </row>
    <row r="171" ht="15.75" customHeight="1">
      <c r="A171" s="4"/>
      <c r="B171" s="4"/>
      <c r="C171" s="4"/>
      <c r="H171" s="4"/>
      <c r="I171" s="4"/>
    </row>
    <row r="172" ht="15.75" customHeight="1">
      <c r="A172" s="4"/>
      <c r="B172" s="4"/>
      <c r="C172" s="4"/>
      <c r="H172" s="4"/>
      <c r="I172" s="4"/>
    </row>
    <row r="173" ht="15.75" customHeight="1">
      <c r="A173" s="4"/>
      <c r="B173" s="4"/>
      <c r="C173" s="4"/>
      <c r="H173" s="4"/>
      <c r="I173" s="4"/>
    </row>
    <row r="174" ht="15.75" customHeight="1">
      <c r="A174" s="4"/>
      <c r="B174" s="4"/>
      <c r="C174" s="4"/>
      <c r="H174" s="4"/>
      <c r="I174" s="4"/>
    </row>
    <row r="175" ht="15.75" customHeight="1">
      <c r="A175" s="4"/>
      <c r="B175" s="4"/>
      <c r="C175" s="4"/>
      <c r="H175" s="4"/>
      <c r="I175" s="4"/>
    </row>
    <row r="176" ht="15.75" customHeight="1">
      <c r="A176" s="4"/>
      <c r="B176" s="4"/>
      <c r="C176" s="4"/>
      <c r="H176" s="4"/>
      <c r="I176" s="4"/>
    </row>
    <row r="177" ht="15.75" customHeight="1">
      <c r="A177" s="4"/>
      <c r="B177" s="4"/>
      <c r="C177" s="4"/>
      <c r="H177" s="4"/>
      <c r="I177" s="4"/>
    </row>
    <row r="178" ht="15.75" customHeight="1">
      <c r="A178" s="4"/>
      <c r="B178" s="4"/>
      <c r="C178" s="4"/>
      <c r="H178" s="4"/>
      <c r="I178" s="4"/>
    </row>
    <row r="179" ht="15.75" customHeight="1">
      <c r="A179" s="4"/>
      <c r="B179" s="4"/>
      <c r="C179" s="4"/>
      <c r="H179" s="4"/>
      <c r="I179" s="4"/>
    </row>
    <row r="180" ht="15.75" customHeight="1">
      <c r="A180" s="4"/>
      <c r="B180" s="4"/>
      <c r="C180" s="4"/>
      <c r="H180" s="4"/>
      <c r="I180" s="4"/>
    </row>
    <row r="181" ht="15.75" customHeight="1">
      <c r="A181" s="4"/>
      <c r="B181" s="4"/>
      <c r="C181" s="4"/>
      <c r="H181" s="4"/>
      <c r="I181" s="4"/>
    </row>
    <row r="182" ht="15.75" customHeight="1">
      <c r="A182" s="4"/>
      <c r="B182" s="4"/>
      <c r="C182" s="4"/>
      <c r="H182" s="4"/>
      <c r="I182" s="4"/>
    </row>
    <row r="183" ht="15.75" customHeight="1">
      <c r="A183" s="4"/>
      <c r="B183" s="4"/>
      <c r="C183" s="4"/>
      <c r="H183" s="4"/>
      <c r="I183" s="4"/>
    </row>
    <row r="184" ht="15.75" customHeight="1">
      <c r="A184" s="4"/>
      <c r="B184" s="4"/>
      <c r="C184" s="4"/>
      <c r="H184" s="4"/>
      <c r="I184" s="4"/>
    </row>
    <row r="185" ht="15.75" customHeight="1">
      <c r="A185" s="4"/>
      <c r="B185" s="4"/>
      <c r="C185" s="4"/>
      <c r="H185" s="4"/>
      <c r="I185" s="4"/>
    </row>
    <row r="186" ht="15.75" customHeight="1">
      <c r="A186" s="4"/>
      <c r="B186" s="4"/>
      <c r="C186" s="4"/>
      <c r="H186" s="4"/>
      <c r="I186" s="4"/>
    </row>
    <row r="187" ht="15.75" customHeight="1">
      <c r="A187" s="4"/>
      <c r="B187" s="4"/>
      <c r="C187" s="4"/>
      <c r="H187" s="4"/>
      <c r="I187" s="4"/>
    </row>
    <row r="188" ht="15.75" customHeight="1">
      <c r="A188" s="4"/>
      <c r="B188" s="4"/>
      <c r="C188" s="4"/>
      <c r="H188" s="4"/>
      <c r="I188" s="4"/>
    </row>
    <row r="189" ht="15.75" customHeight="1">
      <c r="A189" s="4"/>
      <c r="B189" s="4"/>
      <c r="C189" s="4"/>
      <c r="H189" s="4"/>
      <c r="I189" s="4"/>
    </row>
    <row r="190" ht="15.75" customHeight="1">
      <c r="A190" s="4"/>
      <c r="B190" s="4"/>
      <c r="C190" s="4"/>
      <c r="H190" s="4"/>
      <c r="I190" s="4"/>
    </row>
    <row r="191" ht="15.75" customHeight="1">
      <c r="A191" s="4"/>
      <c r="B191" s="4"/>
      <c r="C191" s="4"/>
      <c r="H191" s="4"/>
      <c r="I191" s="4"/>
    </row>
    <row r="192" ht="15.75" customHeight="1">
      <c r="A192" s="4"/>
      <c r="B192" s="4"/>
      <c r="C192" s="4"/>
      <c r="H192" s="4"/>
      <c r="I192" s="4"/>
    </row>
    <row r="193" ht="15.75" customHeight="1">
      <c r="A193" s="4"/>
      <c r="B193" s="4"/>
      <c r="C193" s="4"/>
      <c r="H193" s="4"/>
      <c r="I193" s="4"/>
    </row>
    <row r="194" ht="15.75" customHeight="1">
      <c r="A194" s="4"/>
      <c r="B194" s="4"/>
      <c r="C194" s="4"/>
      <c r="H194" s="4"/>
      <c r="I194" s="4"/>
    </row>
    <row r="195" ht="15.75" customHeight="1">
      <c r="A195" s="4"/>
      <c r="B195" s="4"/>
      <c r="C195" s="4"/>
      <c r="H195" s="4"/>
      <c r="I195" s="4"/>
    </row>
    <row r="196" ht="15.75" customHeight="1">
      <c r="A196" s="4"/>
      <c r="B196" s="4"/>
      <c r="C196" s="4"/>
      <c r="H196" s="4"/>
      <c r="I196" s="4"/>
    </row>
    <row r="197" ht="15.75" customHeight="1">
      <c r="A197" s="4"/>
      <c r="B197" s="4"/>
      <c r="C197" s="4"/>
      <c r="H197" s="4"/>
      <c r="I197" s="4"/>
    </row>
    <row r="198" ht="15.75" customHeight="1">
      <c r="A198" s="4"/>
      <c r="B198" s="4"/>
      <c r="C198" s="4"/>
      <c r="H198" s="4"/>
      <c r="I198" s="4"/>
    </row>
    <row r="199" ht="15.75" customHeight="1">
      <c r="A199" s="4"/>
      <c r="B199" s="4"/>
      <c r="C199" s="4"/>
      <c r="H199" s="4"/>
      <c r="I199" s="4"/>
    </row>
    <row r="200" ht="15.75" customHeight="1">
      <c r="A200" s="4"/>
      <c r="B200" s="4"/>
      <c r="C200" s="4"/>
      <c r="H200" s="4"/>
      <c r="I200" s="4"/>
    </row>
    <row r="201" ht="15.75" customHeight="1">
      <c r="A201" s="4"/>
      <c r="B201" s="4"/>
      <c r="C201" s="4"/>
      <c r="H201" s="4"/>
      <c r="I201" s="4"/>
    </row>
    <row r="202" ht="15.75" customHeight="1">
      <c r="A202" s="4"/>
      <c r="B202" s="4"/>
      <c r="C202" s="4"/>
      <c r="H202" s="4"/>
      <c r="I202" s="4"/>
    </row>
    <row r="203" ht="15.75" customHeight="1">
      <c r="A203" s="4"/>
      <c r="B203" s="4"/>
      <c r="C203" s="4"/>
      <c r="H203" s="4"/>
      <c r="I203" s="4"/>
    </row>
    <row r="204" ht="15.75" customHeight="1">
      <c r="A204" s="4"/>
      <c r="B204" s="4"/>
      <c r="C204" s="4"/>
      <c r="H204" s="4"/>
      <c r="I204" s="4"/>
    </row>
    <row r="205" ht="15.75" customHeight="1">
      <c r="A205" s="4"/>
      <c r="B205" s="4"/>
      <c r="C205" s="4"/>
      <c r="H205" s="4"/>
      <c r="I205" s="4"/>
    </row>
    <row r="206" ht="15.75" customHeight="1">
      <c r="A206" s="4"/>
      <c r="B206" s="4"/>
      <c r="C206" s="4"/>
      <c r="H206" s="4"/>
      <c r="I206" s="4"/>
    </row>
    <row r="207" ht="15.75" customHeight="1">
      <c r="A207" s="4"/>
      <c r="B207" s="4"/>
      <c r="C207" s="4"/>
      <c r="H207" s="4"/>
      <c r="I207" s="4"/>
    </row>
    <row r="208" ht="15.75" customHeight="1">
      <c r="A208" s="4"/>
      <c r="B208" s="4"/>
      <c r="C208" s="4"/>
      <c r="H208" s="4"/>
      <c r="I208" s="4"/>
    </row>
    <row r="209" ht="15.75" customHeight="1">
      <c r="A209" s="4"/>
      <c r="B209" s="4"/>
      <c r="C209" s="4"/>
      <c r="H209" s="4"/>
      <c r="I209" s="4"/>
    </row>
    <row r="210" ht="15.75" customHeight="1">
      <c r="A210" s="4"/>
      <c r="B210" s="4"/>
      <c r="C210" s="4"/>
      <c r="H210" s="4"/>
      <c r="I210" s="4"/>
    </row>
    <row r="211" ht="15.75" customHeight="1">
      <c r="A211" s="4"/>
      <c r="B211" s="4"/>
      <c r="C211" s="4"/>
      <c r="H211" s="4"/>
      <c r="I211" s="4"/>
    </row>
    <row r="212" ht="15.75" customHeight="1">
      <c r="A212" s="4"/>
      <c r="B212" s="4"/>
      <c r="C212" s="4"/>
      <c r="H212" s="4"/>
      <c r="I212" s="4"/>
    </row>
    <row r="213" ht="15.75" customHeight="1">
      <c r="A213" s="4"/>
      <c r="B213" s="4"/>
      <c r="C213" s="4"/>
      <c r="H213" s="4"/>
      <c r="I213" s="4"/>
    </row>
    <row r="214" ht="15.75" customHeight="1">
      <c r="A214" s="4"/>
      <c r="B214" s="4"/>
      <c r="C214" s="4"/>
      <c r="H214" s="4"/>
      <c r="I214" s="4"/>
    </row>
    <row r="215" ht="15.75" customHeight="1">
      <c r="A215" s="4"/>
      <c r="B215" s="4"/>
      <c r="C215" s="4"/>
      <c r="H215" s="4"/>
      <c r="I215" s="4"/>
    </row>
    <row r="216" ht="15.75" customHeight="1">
      <c r="A216" s="4"/>
      <c r="B216" s="4"/>
      <c r="C216" s="4"/>
      <c r="H216" s="4"/>
      <c r="I216" s="4"/>
    </row>
    <row r="217" ht="15.75" customHeight="1">
      <c r="A217" s="4"/>
      <c r="B217" s="4"/>
      <c r="C217" s="4"/>
      <c r="H217" s="4"/>
      <c r="I217" s="4"/>
    </row>
    <row r="218" ht="15.75" customHeight="1">
      <c r="A218" s="4"/>
      <c r="B218" s="4"/>
      <c r="C218" s="4"/>
      <c r="H218" s="4"/>
      <c r="I218" s="4"/>
    </row>
    <row r="219" ht="15.75" customHeight="1">
      <c r="A219" s="4"/>
      <c r="B219" s="4"/>
      <c r="C219" s="4"/>
      <c r="H219" s="4"/>
      <c r="I219" s="4"/>
    </row>
    <row r="220" ht="15.75" customHeight="1">
      <c r="A220" s="4"/>
      <c r="B220" s="4"/>
      <c r="C220" s="4"/>
      <c r="H220" s="4"/>
      <c r="I220" s="4"/>
    </row>
    <row r="221" ht="15.75" customHeight="1">
      <c r="A221" s="4"/>
      <c r="B221" s="4"/>
      <c r="C221" s="4"/>
      <c r="H221" s="4"/>
      <c r="I221" s="4"/>
    </row>
    <row r="222" ht="15.75" customHeight="1">
      <c r="A222" s="4"/>
      <c r="B222" s="4"/>
      <c r="C222" s="4"/>
      <c r="H222" s="4"/>
      <c r="I222" s="4"/>
    </row>
    <row r="223" ht="15.75" customHeight="1">
      <c r="A223" s="4"/>
      <c r="B223" s="4"/>
      <c r="C223" s="4"/>
      <c r="H223" s="4"/>
      <c r="I223" s="4"/>
    </row>
    <row r="224" ht="15.75" customHeight="1">
      <c r="A224" s="4"/>
      <c r="B224" s="4"/>
      <c r="C224" s="4"/>
      <c r="H224" s="4"/>
      <c r="I224" s="4"/>
    </row>
    <row r="225" ht="15.75" customHeight="1">
      <c r="A225" s="4"/>
      <c r="B225" s="4"/>
      <c r="C225" s="4"/>
      <c r="H225" s="4"/>
      <c r="I225" s="4"/>
    </row>
    <row r="226" ht="15.75" customHeight="1">
      <c r="A226" s="4"/>
      <c r="B226" s="4"/>
      <c r="C226" s="4"/>
      <c r="H226" s="4"/>
      <c r="I226" s="4"/>
    </row>
    <row r="227" ht="15.75" customHeight="1">
      <c r="A227" s="4"/>
      <c r="B227" s="4"/>
      <c r="C227" s="4"/>
      <c r="H227" s="4"/>
      <c r="I227" s="4"/>
    </row>
    <row r="228" ht="15.75" customHeight="1">
      <c r="A228" s="4"/>
      <c r="B228" s="4"/>
      <c r="C228" s="4"/>
      <c r="H228" s="4"/>
      <c r="I228" s="4"/>
    </row>
    <row r="229" ht="15.75" customHeight="1">
      <c r="A229" s="4"/>
      <c r="B229" s="4"/>
      <c r="C229" s="4"/>
      <c r="H229" s="4"/>
      <c r="I229" s="4"/>
    </row>
    <row r="230" ht="15.75" customHeight="1">
      <c r="A230" s="4"/>
      <c r="B230" s="4"/>
      <c r="C230" s="4"/>
      <c r="H230" s="4"/>
      <c r="I230" s="4"/>
    </row>
    <row r="231" ht="15.75" customHeight="1">
      <c r="A231" s="4"/>
      <c r="B231" s="4"/>
      <c r="C231" s="4"/>
      <c r="H231" s="4"/>
      <c r="I231" s="4"/>
    </row>
    <row r="232" ht="15.75" customHeight="1">
      <c r="A232" s="4"/>
      <c r="B232" s="4"/>
      <c r="C232" s="4"/>
      <c r="H232" s="4"/>
      <c r="I232" s="4"/>
    </row>
    <row r="233" ht="15.75" customHeight="1">
      <c r="A233" s="4"/>
      <c r="B233" s="4"/>
      <c r="C233" s="4"/>
      <c r="H233" s="4"/>
      <c r="I233" s="4"/>
    </row>
    <row r="234" ht="15.75" customHeight="1">
      <c r="A234" s="4"/>
      <c r="B234" s="4"/>
      <c r="C234" s="4"/>
      <c r="H234" s="4"/>
      <c r="I234" s="4"/>
    </row>
    <row r="235" ht="15.75" customHeight="1">
      <c r="A235" s="4"/>
      <c r="B235" s="4"/>
      <c r="C235" s="4"/>
      <c r="H235" s="4"/>
      <c r="I235" s="4"/>
    </row>
    <row r="236" ht="15.75" customHeight="1">
      <c r="A236" s="4"/>
      <c r="B236" s="4"/>
      <c r="C236" s="4"/>
      <c r="H236" s="4"/>
      <c r="I236" s="4"/>
    </row>
    <row r="237" ht="15.75" customHeight="1">
      <c r="A237" s="4"/>
      <c r="B237" s="4"/>
      <c r="C237" s="4"/>
      <c r="H237" s="4"/>
      <c r="I237" s="4"/>
    </row>
    <row r="238" ht="15.75" customHeight="1">
      <c r="A238" s="4"/>
      <c r="B238" s="4"/>
      <c r="C238" s="4"/>
      <c r="H238" s="4"/>
      <c r="I238" s="4"/>
    </row>
    <row r="239" ht="15.75" customHeight="1">
      <c r="A239" s="4"/>
      <c r="B239" s="4"/>
      <c r="C239" s="4"/>
      <c r="H239" s="4"/>
      <c r="I239" s="4"/>
    </row>
    <row r="240" ht="15.75" customHeight="1">
      <c r="A240" s="4"/>
      <c r="B240" s="4"/>
      <c r="C240" s="4"/>
      <c r="H240" s="4"/>
      <c r="I240" s="4"/>
    </row>
    <row r="241" ht="15.75" customHeight="1">
      <c r="A241" s="4"/>
      <c r="B241" s="4"/>
      <c r="C241" s="4"/>
      <c r="H241" s="4"/>
      <c r="I241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12.57"/>
  </cols>
  <sheetData>
    <row r="1" ht="15.75" customHeight="1">
      <c r="A1" s="10"/>
      <c r="B1" s="10">
        <v>9054.0</v>
      </c>
      <c r="C1" s="10">
        <v>9115.0</v>
      </c>
      <c r="D1" s="10">
        <v>9124.0</v>
      </c>
      <c r="E1" s="1">
        <v>9071.0</v>
      </c>
      <c r="G1" s="10">
        <v>3703.0</v>
      </c>
      <c r="H1" s="10">
        <v>3704.0</v>
      </c>
      <c r="I1" s="10">
        <v>3723.0</v>
      </c>
      <c r="J1" s="10">
        <v>3739.0</v>
      </c>
      <c r="K1" s="10">
        <v>3748.0</v>
      </c>
    </row>
    <row r="2" ht="15.75" customHeight="1">
      <c r="A2" s="4"/>
      <c r="B2" s="4" t="s">
        <v>3</v>
      </c>
      <c r="C2" s="4" t="s">
        <v>3</v>
      </c>
      <c r="D2" s="4" t="s">
        <v>3</v>
      </c>
      <c r="E2" s="1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</row>
    <row r="3" ht="15.75" customHeight="1">
      <c r="A3" s="10"/>
      <c r="B3" s="10">
        <v>12.0</v>
      </c>
      <c r="C3" s="10">
        <v>8.0</v>
      </c>
      <c r="D3" s="10">
        <v>7.5</v>
      </c>
      <c r="E3" s="1">
        <v>12.0</v>
      </c>
      <c r="G3" s="10">
        <v>14.0</v>
      </c>
      <c r="H3" s="10">
        <v>13.0</v>
      </c>
      <c r="I3" s="10">
        <v>9.5</v>
      </c>
      <c r="J3" s="10">
        <v>7.5</v>
      </c>
      <c r="K3" s="10">
        <v>7.5</v>
      </c>
    </row>
    <row r="4" ht="15.75" customHeight="1">
      <c r="A4" s="10"/>
      <c r="B4" s="10">
        <v>0.0</v>
      </c>
      <c r="C4" s="10">
        <v>0.0</v>
      </c>
      <c r="D4" s="10">
        <v>5.0</v>
      </c>
      <c r="E4" s="1">
        <v>1.5</v>
      </c>
      <c r="G4" s="10">
        <v>28.8</v>
      </c>
      <c r="H4" s="10">
        <v>23.6</v>
      </c>
      <c r="I4" s="10">
        <v>24.3</v>
      </c>
      <c r="J4" s="10">
        <v>24.0</v>
      </c>
      <c r="K4" s="10">
        <v>21.2</v>
      </c>
    </row>
    <row r="5" ht="15.75" customHeight="1">
      <c r="A5" s="10"/>
      <c r="B5" s="10" t="str">
        <f t="shared" ref="B5:E5" si="1">ABS(0.8 - B4)</f>
        <v>0.8</v>
      </c>
      <c r="C5" s="10" t="str">
        <f t="shared" si="1"/>
        <v>0.8</v>
      </c>
      <c r="D5" s="10" t="str">
        <f t="shared" si="1"/>
        <v>4.2</v>
      </c>
      <c r="E5" s="1" t="str">
        <f t="shared" si="1"/>
        <v>0.7</v>
      </c>
      <c r="G5" s="10" t="str">
        <f t="shared" ref="G5:K5" si="2">ABS(17.1 - G4)</f>
        <v>11.7</v>
      </c>
      <c r="H5" s="10" t="str">
        <f t="shared" si="2"/>
        <v>6.5</v>
      </c>
      <c r="I5" s="10" t="str">
        <f t="shared" si="2"/>
        <v>7.2</v>
      </c>
      <c r="J5" s="10" t="str">
        <f t="shared" si="2"/>
        <v>6.9</v>
      </c>
      <c r="K5" s="10" t="str">
        <f t="shared" si="2"/>
        <v>4.1</v>
      </c>
    </row>
    <row r="6" ht="15.75" customHeight="1">
      <c r="A6" s="10"/>
      <c r="B6" s="10" t="str">
        <f t="shared" ref="B6:E6" si="3">0.8 - B4</f>
        <v>0.8</v>
      </c>
      <c r="C6" s="10" t="str">
        <f t="shared" si="3"/>
        <v>0.8</v>
      </c>
      <c r="D6" s="10" t="str">
        <f t="shared" si="3"/>
        <v>-4.2</v>
      </c>
      <c r="E6" s="1" t="str">
        <f t="shared" si="3"/>
        <v>-0.7</v>
      </c>
      <c r="G6" s="10" t="str">
        <f t="shared" ref="G6:K6" si="4">G4 - 17.1</f>
        <v>11.7</v>
      </c>
      <c r="H6" s="10" t="str">
        <f t="shared" si="4"/>
        <v>6.5</v>
      </c>
      <c r="I6" s="10" t="str">
        <f t="shared" si="4"/>
        <v>7.2</v>
      </c>
      <c r="J6" s="10" t="str">
        <f t="shared" si="4"/>
        <v>6.9</v>
      </c>
      <c r="K6" s="10" t="str">
        <f t="shared" si="4"/>
        <v>4.1</v>
      </c>
    </row>
    <row r="7" ht="15.75" customHeight="1">
      <c r="A7" s="10"/>
      <c r="B7" s="10">
        <v>1.0</v>
      </c>
      <c r="C7" s="10">
        <v>1.0</v>
      </c>
      <c r="D7" s="10">
        <v>1.0</v>
      </c>
      <c r="E7" s="1">
        <v>1.0</v>
      </c>
      <c r="G7" s="10">
        <v>1.0</v>
      </c>
      <c r="H7" s="10">
        <v>1.0</v>
      </c>
      <c r="I7" s="10">
        <v>1.0</v>
      </c>
      <c r="J7" s="10">
        <v>1.0</v>
      </c>
      <c r="K7" s="10">
        <v>1.0</v>
      </c>
    </row>
    <row r="8" ht="15.75" customHeight="1">
      <c r="A8" s="10"/>
      <c r="B8" s="10">
        <v>1.0</v>
      </c>
      <c r="C8" s="10">
        <v>1.0</v>
      </c>
      <c r="D8" s="10">
        <v>1.0</v>
      </c>
      <c r="E8" s="1">
        <v>1.0</v>
      </c>
      <c r="G8" s="10">
        <v>1.0</v>
      </c>
      <c r="H8" s="10">
        <v>1.0</v>
      </c>
      <c r="I8" s="10">
        <v>1.0</v>
      </c>
      <c r="J8" s="10">
        <v>1.0</v>
      </c>
      <c r="K8" s="10">
        <v>1.0</v>
      </c>
    </row>
    <row r="9" ht="15.75" customHeight="1">
      <c r="A9" s="10"/>
      <c r="B9" s="10">
        <v>1.0</v>
      </c>
      <c r="C9" s="10">
        <v>1.0</v>
      </c>
      <c r="D9" s="10">
        <v>1.0</v>
      </c>
      <c r="E9" s="1">
        <v>1.0</v>
      </c>
      <c r="G9" s="10">
        <v>1.0</v>
      </c>
      <c r="H9" s="10">
        <v>1.0</v>
      </c>
      <c r="I9" s="10">
        <v>1.0</v>
      </c>
      <c r="J9" s="10">
        <v>1.0</v>
      </c>
      <c r="K9" s="10">
        <v>1.0</v>
      </c>
    </row>
    <row r="10" ht="15.75" customHeight="1">
      <c r="A10" s="10"/>
      <c r="B10" s="10">
        <v>1.0</v>
      </c>
      <c r="C10" s="10">
        <v>1.0</v>
      </c>
      <c r="D10" s="10">
        <v>1.0</v>
      </c>
      <c r="E10" s="1">
        <v>1.0</v>
      </c>
      <c r="G10" s="10">
        <v>1.0</v>
      </c>
      <c r="H10" s="10">
        <v>1.0</v>
      </c>
      <c r="I10" s="10">
        <v>1.0</v>
      </c>
      <c r="J10" s="10">
        <v>1.0</v>
      </c>
      <c r="K10" s="10">
        <v>1.0</v>
      </c>
    </row>
    <row r="11" ht="15.75" customHeight="1">
      <c r="A11" s="10"/>
      <c r="B11" s="10">
        <v>1.0</v>
      </c>
      <c r="C11" s="10">
        <v>1.0</v>
      </c>
      <c r="D11" s="10">
        <v>1.0</v>
      </c>
      <c r="E11" s="1">
        <v>1.0</v>
      </c>
      <c r="G11" s="10">
        <v>1.0</v>
      </c>
      <c r="H11" s="10">
        <v>1.0</v>
      </c>
      <c r="I11" s="10">
        <v>1.0</v>
      </c>
      <c r="J11" s="10">
        <v>1.0</v>
      </c>
      <c r="K11" s="10">
        <v>1.0</v>
      </c>
    </row>
    <row r="12" ht="15.75" customHeight="1">
      <c r="A12" s="10"/>
      <c r="B12" s="10">
        <v>1.0</v>
      </c>
      <c r="C12" s="10">
        <v>1.0</v>
      </c>
      <c r="D12" s="10">
        <v>1.0</v>
      </c>
      <c r="E12" s="1">
        <v>1.0</v>
      </c>
      <c r="G12" s="10">
        <v>1.0</v>
      </c>
      <c r="H12" s="10">
        <v>1.0</v>
      </c>
      <c r="I12" s="10">
        <v>1.0</v>
      </c>
      <c r="J12" s="10">
        <v>1.0</v>
      </c>
      <c r="K12" s="10">
        <v>1.0</v>
      </c>
    </row>
    <row r="13" ht="15.75" customHeight="1">
      <c r="A13" s="10"/>
      <c r="B13" s="10">
        <v>1.0</v>
      </c>
      <c r="C13" s="10">
        <v>1.0</v>
      </c>
      <c r="D13" s="10">
        <v>1.0</v>
      </c>
      <c r="E13" s="1">
        <v>1.0</v>
      </c>
      <c r="G13" s="10">
        <v>1.0</v>
      </c>
      <c r="H13" s="10">
        <v>1.0</v>
      </c>
      <c r="I13" s="10">
        <v>1.0</v>
      </c>
      <c r="J13" s="10">
        <v>1.0</v>
      </c>
      <c r="K13" s="10">
        <v>1.0</v>
      </c>
    </row>
    <row r="14" ht="15.75" customHeight="1">
      <c r="A14" s="10"/>
      <c r="B14" s="10">
        <v>1.0</v>
      </c>
      <c r="C14" s="10">
        <v>1.0</v>
      </c>
      <c r="D14" s="10">
        <v>1.0</v>
      </c>
      <c r="E14" s="1">
        <v>1.0</v>
      </c>
      <c r="G14" s="10">
        <v>1.0</v>
      </c>
      <c r="H14" s="10">
        <v>1.0</v>
      </c>
      <c r="I14" s="10">
        <v>1.0</v>
      </c>
      <c r="J14" s="10">
        <v>1.0</v>
      </c>
      <c r="K14" s="10">
        <v>1.0</v>
      </c>
    </row>
    <row r="15" ht="15.75" customHeight="1">
      <c r="A15" s="10"/>
      <c r="B15" s="10">
        <v>1.0</v>
      </c>
      <c r="C15" s="10">
        <v>0.0</v>
      </c>
      <c r="D15" s="10">
        <v>0.0</v>
      </c>
      <c r="E15" s="1">
        <v>1.0</v>
      </c>
      <c r="G15" s="10">
        <v>0.0</v>
      </c>
      <c r="H15" s="10">
        <v>0.0</v>
      </c>
      <c r="I15" s="10">
        <v>1.0</v>
      </c>
      <c r="J15" s="10">
        <v>0.0</v>
      </c>
      <c r="K15" s="10">
        <v>0.0</v>
      </c>
    </row>
    <row r="16" ht="15.75" customHeight="1">
      <c r="A16" s="10"/>
      <c r="B16" s="10">
        <v>0.0</v>
      </c>
      <c r="C16" s="10">
        <v>0.5</v>
      </c>
      <c r="D16" s="10">
        <v>0.0</v>
      </c>
      <c r="E16" s="1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</row>
    <row r="17" ht="15.75" customHeight="1">
      <c r="A17" s="4"/>
      <c r="B17" s="4" t="s">
        <v>72</v>
      </c>
      <c r="C17" s="11" t="s">
        <v>28</v>
      </c>
      <c r="D17" s="11" t="s">
        <v>28</v>
      </c>
      <c r="E17" s="1" t="s">
        <v>72</v>
      </c>
      <c r="G17" s="11" t="s">
        <v>28</v>
      </c>
      <c r="H17" s="11" t="s">
        <v>28</v>
      </c>
      <c r="I17" s="11" t="s">
        <v>28</v>
      </c>
      <c r="J17" s="11" t="s">
        <v>28</v>
      </c>
      <c r="K17" s="11" t="s">
        <v>28</v>
      </c>
      <c r="L17" s="12">
        <v>1.0</v>
      </c>
    </row>
    <row r="18" ht="15.75" customHeight="1">
      <c r="A18" s="10"/>
      <c r="B18" s="10">
        <v>1.0</v>
      </c>
      <c r="C18" s="10">
        <v>1.0</v>
      </c>
      <c r="D18" s="10">
        <v>1.0</v>
      </c>
      <c r="E18" s="1">
        <v>1.0</v>
      </c>
      <c r="G18" s="10">
        <v>1.0</v>
      </c>
      <c r="H18" s="10">
        <v>1.0</v>
      </c>
      <c r="I18" s="10">
        <v>1.0</v>
      </c>
      <c r="J18" s="10">
        <v>1.0</v>
      </c>
      <c r="K18" s="10">
        <v>1.0</v>
      </c>
    </row>
    <row r="19" ht="15.75" customHeight="1">
      <c r="A19" s="10"/>
      <c r="B19" s="10">
        <v>2000.0</v>
      </c>
      <c r="C19" s="10">
        <v>2013.0</v>
      </c>
      <c r="D19" s="10">
        <v>2003.0</v>
      </c>
      <c r="E19" s="1">
        <v>1000.0</v>
      </c>
      <c r="G19" s="10">
        <v>1000.0</v>
      </c>
      <c r="H19" s="10">
        <v>1000.0</v>
      </c>
      <c r="I19" s="10">
        <v>1000.0</v>
      </c>
      <c r="J19" s="10">
        <v>1000.0</v>
      </c>
      <c r="K19" s="10">
        <v>1000.0</v>
      </c>
    </row>
    <row r="20" ht="15.75" customHeight="1">
      <c r="A20" s="4"/>
      <c r="B20" s="4" t="s">
        <v>79</v>
      </c>
      <c r="C20" s="4" t="s">
        <v>84</v>
      </c>
      <c r="D20" s="4" t="s">
        <v>84</v>
      </c>
      <c r="E20" s="1" t="s">
        <v>80</v>
      </c>
      <c r="G20" s="4" t="s">
        <v>38</v>
      </c>
      <c r="H20" s="4" t="s">
        <v>38</v>
      </c>
      <c r="I20" s="4" t="s">
        <v>38</v>
      </c>
      <c r="J20" s="4" t="s">
        <v>38</v>
      </c>
      <c r="K20" s="4" t="s">
        <v>38</v>
      </c>
    </row>
    <row r="21" ht="15.75" customHeight="1">
      <c r="A21" s="4"/>
      <c r="B21" s="13">
        <v>0.022</v>
      </c>
      <c r="C21" s="13">
        <v>0.022</v>
      </c>
      <c r="D21" s="13">
        <v>0.022</v>
      </c>
      <c r="E21" s="5">
        <v>0.031</v>
      </c>
      <c r="F21" s="5"/>
      <c r="G21" s="13">
        <v>0.031</v>
      </c>
      <c r="H21" s="13">
        <v>0.031</v>
      </c>
      <c r="I21" s="13">
        <v>0.031</v>
      </c>
      <c r="J21" s="13">
        <v>0.031</v>
      </c>
      <c r="K21" s="13">
        <v>0.031</v>
      </c>
    </row>
    <row r="22" ht="15.75" customHeight="1">
      <c r="A22" s="4" t="s">
        <v>86</v>
      </c>
      <c r="B22" s="1" t="str">
        <f t="shared" ref="B22:E22" si="5">0.2*SQRT(B3) + 134.6 / SQRT(B19)</f>
        <v>3.702567821</v>
      </c>
      <c r="C22" s="1" t="str">
        <f t="shared" si="5"/>
        <v>3.565698672</v>
      </c>
      <c r="D22" s="1" t="str">
        <f t="shared" si="5"/>
        <v>3.555215281</v>
      </c>
      <c r="E22" s="1" t="str">
        <f t="shared" si="5"/>
        <v>4.949246054</v>
      </c>
      <c r="G22" s="1" t="str">
        <f t="shared" ref="G22:K22" si="6">0.2*SQRT(G3) + 134.6 / SQRT(G19)</f>
        <v>5.004757208</v>
      </c>
      <c r="H22" s="1" t="str">
        <f t="shared" si="6"/>
        <v>4.977535986</v>
      </c>
      <c r="I22" s="1" t="str">
        <f t="shared" si="6"/>
        <v>4.872867131</v>
      </c>
      <c r="J22" s="1" t="str">
        <f t="shared" si="6"/>
        <v>4.804148288</v>
      </c>
      <c r="K22" s="1" t="str">
        <f t="shared" si="6"/>
        <v>4.804148288</v>
      </c>
    </row>
    <row r="23" ht="15.75" customHeight="1">
      <c r="A23" s="4" t="s">
        <v>87</v>
      </c>
      <c r="B23" s="4" t="str">
        <f t="shared" ref="B23:E23" si="7">B5-B22</f>
        <v>-2.902567821</v>
      </c>
      <c r="C23" s="4" t="str">
        <f t="shared" si="7"/>
        <v>-2.765698672</v>
      </c>
      <c r="D23" s="4" t="str">
        <f t="shared" si="7"/>
        <v>0.6447847191</v>
      </c>
      <c r="E23" s="4" t="str">
        <f t="shared" si="7"/>
        <v>-4.249246054</v>
      </c>
      <c r="F23" s="4"/>
      <c r="G23" s="4" t="str">
        <f t="shared" ref="G23:K23" si="8">G5-G22</f>
        <v>6.695242792</v>
      </c>
      <c r="H23" s="4" t="str">
        <f t="shared" si="8"/>
        <v>1.522464014</v>
      </c>
      <c r="I23" s="4" t="str">
        <f t="shared" si="8"/>
        <v>2.327132869</v>
      </c>
      <c r="J23" s="4" t="str">
        <f t="shared" si="8"/>
        <v>2.095851712</v>
      </c>
      <c r="K23" s="4" t="str">
        <f t="shared" si="8"/>
        <v>-0.7041482881</v>
      </c>
    </row>
    <row r="24" ht="15.75" customHeight="1">
      <c r="A24" s="4" t="s">
        <v>88</v>
      </c>
      <c r="B24" s="4" t="str">
        <f t="shared" ref="B24:E24" si="9">B6</f>
        <v>0.8</v>
      </c>
      <c r="C24" s="4" t="str">
        <f t="shared" si="9"/>
        <v>0.8</v>
      </c>
      <c r="D24" s="4" t="str">
        <f t="shared" si="9"/>
        <v>-4.2</v>
      </c>
      <c r="E24" s="4" t="str">
        <f t="shared" si="9"/>
        <v>-0.7</v>
      </c>
      <c r="F24" s="4"/>
      <c r="G24" s="4" t="str">
        <f t="shared" ref="G24:K24" si="10">G6</f>
        <v>11.7</v>
      </c>
      <c r="H24" s="4" t="str">
        <f t="shared" si="10"/>
        <v>6.5</v>
      </c>
      <c r="I24" s="4" t="str">
        <f t="shared" si="10"/>
        <v>7.2</v>
      </c>
      <c r="J24" s="4" t="str">
        <f t="shared" si="10"/>
        <v>6.9</v>
      </c>
      <c r="K24" s="4" t="str">
        <f t="shared" si="10"/>
        <v>4.1</v>
      </c>
    </row>
    <row r="25" ht="15.75" customHeight="1">
      <c r="A25" s="1" t="s">
        <v>89</v>
      </c>
      <c r="B25" s="1" t="str">
        <f t="shared" ref="B25:E25" si="11">0.84^7</f>
        <v>0.2950903466</v>
      </c>
      <c r="C25" s="1" t="str">
        <f t="shared" si="11"/>
        <v>0.2950903466</v>
      </c>
      <c r="D25" s="1" t="str">
        <f t="shared" si="11"/>
        <v>0.2950903466</v>
      </c>
      <c r="E25" s="1" t="str">
        <f t="shared" si="11"/>
        <v>0.2950903466</v>
      </c>
      <c r="G25" s="1" t="str">
        <f t="shared" ref="G25:K25" si="12">0.84^2</f>
        <v>0.7056</v>
      </c>
      <c r="H25" s="1" t="str">
        <f t="shared" si="12"/>
        <v>0.7056</v>
      </c>
      <c r="I25" s="1" t="str">
        <f t="shared" si="12"/>
        <v>0.7056</v>
      </c>
      <c r="J25" s="1" t="str">
        <f t="shared" si="12"/>
        <v>0.7056</v>
      </c>
      <c r="K25" s="1" t="str">
        <f t="shared" si="12"/>
        <v>0.7056</v>
      </c>
    </row>
    <row r="26" ht="15.75" customHeight="1">
      <c r="A26" s="1" t="s">
        <v>93</v>
      </c>
      <c r="B26" s="1" t="str">
        <f t="shared" ref="B26:E26" si="13">B23*B25</f>
        <v>-0.8565197441</v>
      </c>
      <c r="C26" s="1" t="str">
        <f t="shared" si="13"/>
        <v>-0.8161309796</v>
      </c>
      <c r="D26" s="1" t="str">
        <f t="shared" si="13"/>
        <v>0.1902697462</v>
      </c>
      <c r="E26" s="1" t="str">
        <f t="shared" si="13"/>
        <v>-1.253911491</v>
      </c>
      <c r="G26" s="1" t="str">
        <f t="shared" ref="G26:K26" si="14">G23*G25</f>
        <v>4.724163314</v>
      </c>
      <c r="H26" s="1" t="str">
        <f t="shared" si="14"/>
        <v>1.074250609</v>
      </c>
      <c r="I26" s="1" t="str">
        <f t="shared" si="14"/>
        <v>1.642024952</v>
      </c>
      <c r="J26" s="1" t="str">
        <f t="shared" si="14"/>
        <v>1.478832968</v>
      </c>
      <c r="K26" s="1" t="str">
        <f t="shared" si="14"/>
        <v>-0.4968470321</v>
      </c>
    </row>
    <row r="27" ht="15.75" customHeight="1">
      <c r="A27" s="1" t="s">
        <v>94</v>
      </c>
      <c r="B27" s="1" t="str">
        <f>SUM(B26:K26)/SUM(B25:K25)</f>
        <v>1.20766693</v>
      </c>
    </row>
    <row r="28" ht="15.75" customHeight="1">
      <c r="A28" s="1" t="s">
        <v>95</v>
      </c>
      <c r="B28" s="1" t="str">
        <f t="shared" ref="B28:E28" si="15">B23-3.49</f>
        <v>-6.392567821</v>
      </c>
      <c r="C28" s="1" t="str">
        <f t="shared" si="15"/>
        <v>-6.255698672</v>
      </c>
      <c r="D28" s="1" t="str">
        <f t="shared" si="15"/>
        <v>-2.845215281</v>
      </c>
      <c r="E28" s="1" t="str">
        <f t="shared" si="15"/>
        <v>-7.739246054</v>
      </c>
      <c r="G28" s="1" t="str">
        <f t="shared" ref="G28:K28" si="16">G23+1.304</f>
        <v>7.999242792</v>
      </c>
      <c r="H28" s="1" t="str">
        <f t="shared" si="16"/>
        <v>2.826464014</v>
      </c>
      <c r="I28" s="1" t="str">
        <f t="shared" si="16"/>
        <v>3.631132869</v>
      </c>
      <c r="J28" s="1" t="str">
        <f t="shared" si="16"/>
        <v>3.399851712</v>
      </c>
      <c r="K28" s="1" t="str">
        <f t="shared" si="16"/>
        <v>0.5998517119</v>
      </c>
    </row>
    <row r="29" ht="15.75" customHeight="1">
      <c r="A29" s="4" t="s">
        <v>96</v>
      </c>
      <c r="B29" s="4" t="str">
        <f t="shared" ref="B29:E29" si="17">0.8*B28+0.2*B23</f>
        <v>-5.694567821</v>
      </c>
      <c r="C29" s="4" t="str">
        <f t="shared" si="17"/>
        <v>-5.557698672</v>
      </c>
      <c r="D29" s="4" t="str">
        <f t="shared" si="17"/>
        <v>-2.147215281</v>
      </c>
      <c r="E29" s="4" t="str">
        <f t="shared" si="17"/>
        <v>-7.041246054</v>
      </c>
      <c r="G29" s="4" t="str">
        <f t="shared" ref="G29:K29" si="18">0.8*G28+0.2*G23</f>
        <v>7.738442792</v>
      </c>
      <c r="H29" s="4" t="str">
        <f t="shared" si="18"/>
        <v>2.565664014</v>
      </c>
      <c r="I29" s="4" t="str">
        <f t="shared" si="18"/>
        <v>3.370332869</v>
      </c>
      <c r="J29" s="4" t="str">
        <f t="shared" si="18"/>
        <v>3.139051712</v>
      </c>
      <c r="K29" s="4" t="str">
        <f t="shared" si="18"/>
        <v>0.3390517119</v>
      </c>
    </row>
    <row r="30" ht="15.75" customHeight="1">
      <c r="A30" s="4" t="s">
        <v>97</v>
      </c>
      <c r="B30" s="4" t="str">
        <f t="shared" ref="B30:E30" si="19">B25*B29</f>
        <v>-1.680411992</v>
      </c>
      <c r="C30" s="4" t="str">
        <f t="shared" si="19"/>
        <v>-1.640023227</v>
      </c>
      <c r="D30" s="4" t="str">
        <f t="shared" si="19"/>
        <v>-0.6336225014</v>
      </c>
      <c r="E30" s="4" t="str">
        <f t="shared" si="19"/>
        <v>-2.077803738</v>
      </c>
      <c r="G30" s="4" t="str">
        <f t="shared" ref="G30:K30" si="20">G25*G29</f>
        <v>5.460245234</v>
      </c>
      <c r="H30" s="4" t="str">
        <f t="shared" si="20"/>
        <v>1.810332529</v>
      </c>
      <c r="I30" s="4" t="str">
        <f t="shared" si="20"/>
        <v>2.378106872</v>
      </c>
      <c r="J30" s="4" t="str">
        <f t="shared" si="20"/>
        <v>2.214914888</v>
      </c>
      <c r="K30" s="4" t="str">
        <f t="shared" si="20"/>
        <v>0.2392348879</v>
      </c>
    </row>
    <row r="31" ht="15.75" customHeight="1">
      <c r="A31" s="4" t="s">
        <v>98</v>
      </c>
      <c r="B31" s="1" t="str">
        <f t="shared" ref="B31:E31" si="21">B24-7.8</f>
        <v>-7</v>
      </c>
      <c r="C31" s="1" t="str">
        <f t="shared" si="21"/>
        <v>-7</v>
      </c>
      <c r="D31" s="1" t="str">
        <f t="shared" si="21"/>
        <v>-12</v>
      </c>
      <c r="E31" s="1" t="str">
        <f t="shared" si="21"/>
        <v>-8.5</v>
      </c>
      <c r="G31" s="10" t="str">
        <f t="shared" ref="G31:K31" si="22">G24-2.05</f>
        <v>9.65</v>
      </c>
      <c r="H31" s="10" t="str">
        <f t="shared" si="22"/>
        <v>4.45</v>
      </c>
      <c r="I31" s="10" t="str">
        <f t="shared" si="22"/>
        <v>5.15</v>
      </c>
      <c r="J31" s="10" t="str">
        <f t="shared" si="22"/>
        <v>4.85</v>
      </c>
      <c r="K31" s="10" t="str">
        <f t="shared" si="22"/>
        <v>2.05</v>
      </c>
    </row>
    <row r="32" ht="15.75" customHeight="1">
      <c r="A32" s="4" t="s">
        <v>99</v>
      </c>
      <c r="B32" s="4" t="str">
        <f t="shared" ref="B32:E32" si="23">0.8*B31+0.2*B24</f>
        <v>-5.44</v>
      </c>
      <c r="C32" s="4" t="str">
        <f t="shared" si="23"/>
        <v>-5.44</v>
      </c>
      <c r="D32" s="4" t="str">
        <f t="shared" si="23"/>
        <v>-10.44</v>
      </c>
      <c r="E32" s="4" t="str">
        <f t="shared" si="23"/>
        <v>-6.94</v>
      </c>
      <c r="F32" s="4"/>
      <c r="G32" s="10" t="str">
        <f t="shared" ref="G32:K32" si="24">0.8*G31+0.2*G24</f>
        <v>10.06</v>
      </c>
      <c r="H32" s="10" t="str">
        <f t="shared" si="24"/>
        <v>4.86</v>
      </c>
      <c r="I32" s="10" t="str">
        <f t="shared" si="24"/>
        <v>5.56</v>
      </c>
      <c r="J32" s="10" t="str">
        <f t="shared" si="24"/>
        <v>5.26</v>
      </c>
      <c r="K32" s="10" t="str">
        <f t="shared" si="24"/>
        <v>2.46</v>
      </c>
    </row>
    <row r="33" ht="15.75" customHeight="1">
      <c r="A33" s="4" t="s">
        <v>100</v>
      </c>
      <c r="B33" s="4" t="str">
        <f t="shared" ref="B33:E33" si="25">B25*B32</f>
        <v>-1.605291485</v>
      </c>
      <c r="C33" s="4" t="str">
        <f t="shared" si="25"/>
        <v>-1.605291485</v>
      </c>
      <c r="D33" s="4" t="str">
        <f t="shared" si="25"/>
        <v>-3.080743218</v>
      </c>
      <c r="E33" s="4" t="str">
        <f t="shared" si="25"/>
        <v>-2.047927005</v>
      </c>
      <c r="F33" s="4"/>
      <c r="G33" s="10" t="str">
        <f t="shared" ref="G33:K33" si="26">G25*G32</f>
        <v>7.098336</v>
      </c>
      <c r="H33" s="10" t="str">
        <f t="shared" si="26"/>
        <v>3.429216</v>
      </c>
      <c r="I33" s="10" t="str">
        <f t="shared" si="26"/>
        <v>3.923136</v>
      </c>
      <c r="J33" s="10" t="str">
        <f t="shared" si="26"/>
        <v>3.711456</v>
      </c>
      <c r="K33" s="10" t="str">
        <f t="shared" si="26"/>
        <v>1.735776</v>
      </c>
    </row>
    <row r="34" ht="15.75" customHeight="1">
      <c r="A34" s="4" t="s">
        <v>101</v>
      </c>
      <c r="B34" s="4" t="str">
        <f>SUM(B30:K30)/SUM(B25:K25)</f>
        <v>1.289402502</v>
      </c>
      <c r="C34" s="4"/>
      <c r="E34" s="4"/>
      <c r="F34" s="4"/>
      <c r="H34" s="4"/>
      <c r="I34" s="4"/>
    </row>
    <row r="35" ht="15.75" customHeight="1">
      <c r="A35" s="4" t="s">
        <v>102</v>
      </c>
      <c r="B35" s="4" t="str">
        <f>ABS(SUM(B33:K33)/SUM(B25:K25))</f>
        <v>2.454923456</v>
      </c>
      <c r="C35" s="4"/>
      <c r="E35" s="4"/>
      <c r="F35" s="4"/>
      <c r="H35" s="4"/>
      <c r="I35" s="4"/>
    </row>
    <row r="36" ht="15.75" customHeight="1">
      <c r="A36" s="4" t="s">
        <v>103</v>
      </c>
      <c r="B36" s="4" t="str">
        <f>AVERAGE(B34:B35)</f>
        <v>1.872162979</v>
      </c>
      <c r="C36" s="4"/>
      <c r="D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G38" s="4"/>
      <c r="H38" s="4"/>
      <c r="I38" s="4"/>
      <c r="J38" s="4"/>
      <c r="K38" s="4"/>
    </row>
    <row r="39" ht="15.75" customHeight="1">
      <c r="A39" s="1" t="s">
        <v>104</v>
      </c>
      <c r="B39" s="1" t="str">
        <f t="shared" ref="B39:E39" si="27">SUM(B7:B16)*B25 </f>
        <v>2.655813119</v>
      </c>
      <c r="C39" s="1" t="str">
        <f t="shared" si="27"/>
        <v>2.508267946</v>
      </c>
      <c r="D39" s="1" t="str">
        <f t="shared" si="27"/>
        <v>2.360722772</v>
      </c>
      <c r="E39" s="1" t="str">
        <f t="shared" si="27"/>
        <v>2.655813119</v>
      </c>
      <c r="G39" s="1" t="str">
        <f t="shared" ref="G39:K39" si="28">SUM(G7:G16)*G25 </f>
        <v>5.6448</v>
      </c>
      <c r="H39" s="1" t="str">
        <f t="shared" si="28"/>
        <v>5.6448</v>
      </c>
      <c r="I39" s="1" t="str">
        <f t="shared" si="28"/>
        <v>6.3504</v>
      </c>
      <c r="J39" s="1" t="str">
        <f t="shared" si="28"/>
        <v>5.6448</v>
      </c>
      <c r="K39" s="1" t="str">
        <f t="shared" si="28"/>
        <v>5.6448</v>
      </c>
    </row>
    <row r="40" ht="15.75" customHeight="1">
      <c r="A40" s="1" t="s">
        <v>105</v>
      </c>
      <c r="B40" s="1" t="str">
        <f>SUM(B39:K39)/SUM(B25:K25)</f>
        <v>8.30654526</v>
      </c>
      <c r="E40" s="4"/>
      <c r="F40" s="4"/>
      <c r="I40" s="4"/>
      <c r="J40" s="4"/>
      <c r="K40" s="4"/>
    </row>
    <row r="41" ht="15.75" customHeight="1">
      <c r="A41" s="4"/>
      <c r="B41" s="1" t="str">
        <f>B40*0.7+L17*2+B18</f>
        <v>8.814581682</v>
      </c>
      <c r="C41" s="4"/>
      <c r="D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G241" s="4"/>
      <c r="H241" s="4"/>
      <c r="I241" s="4"/>
      <c r="J241" s="4"/>
      <c r="K241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0"/>
      <c r="B1" s="10">
        <v>3708.0</v>
      </c>
      <c r="C1" s="10">
        <v>3752.0</v>
      </c>
      <c r="E1" s="1">
        <v>9118.0</v>
      </c>
    </row>
    <row r="2" ht="15.75" customHeight="1">
      <c r="A2" s="4"/>
      <c r="B2" s="4" t="s">
        <v>4</v>
      </c>
      <c r="C2" s="4" t="s">
        <v>4</v>
      </c>
      <c r="E2" s="1" t="s">
        <v>4</v>
      </c>
    </row>
    <row r="3" ht="15.75" customHeight="1">
      <c r="A3" s="10"/>
      <c r="B3" s="10">
        <v>13.0</v>
      </c>
      <c r="C3" s="10">
        <v>8.0</v>
      </c>
      <c r="E3" s="1">
        <v>7.5</v>
      </c>
    </row>
    <row r="4" ht="15.75" customHeight="1">
      <c r="A4" s="10"/>
      <c r="B4" s="10">
        <v>30.2</v>
      </c>
      <c r="C4" s="10">
        <v>23.1</v>
      </c>
      <c r="E4" s="1">
        <v>6.0</v>
      </c>
    </row>
    <row r="5" ht="15.75" customHeight="1">
      <c r="A5" s="10"/>
      <c r="B5" s="10" t="str">
        <f t="shared" ref="B5:C5" si="1">ABS(17.1 - B4)</f>
        <v>13.1</v>
      </c>
      <c r="C5" s="10" t="str">
        <f t="shared" si="1"/>
        <v>6</v>
      </c>
      <c r="E5" s="1" t="str">
        <f>ABS(0.8 - E4)</f>
        <v>5.2</v>
      </c>
    </row>
    <row r="6" ht="15.75" customHeight="1">
      <c r="A6" s="10"/>
      <c r="B6" s="10" t="str">
        <f t="shared" ref="B6:C6" si="2">B4 - 17.1</f>
        <v>13.1</v>
      </c>
      <c r="C6" s="10" t="str">
        <f t="shared" si="2"/>
        <v>6</v>
      </c>
      <c r="E6" s="1" t="str">
        <f>0.8 - E4</f>
        <v>-5.2</v>
      </c>
    </row>
    <row r="7" ht="15.75" customHeight="1">
      <c r="A7" s="10"/>
      <c r="B7" s="10">
        <v>1.0</v>
      </c>
      <c r="C7" s="10">
        <v>1.0</v>
      </c>
      <c r="E7" s="1">
        <v>1.0</v>
      </c>
    </row>
    <row r="8" ht="15.75" customHeight="1">
      <c r="A8" s="10"/>
      <c r="B8" s="10">
        <v>1.0</v>
      </c>
      <c r="C8" s="10">
        <v>1.0</v>
      </c>
      <c r="E8" s="1">
        <v>1.0</v>
      </c>
    </row>
    <row r="9" ht="15.75" customHeight="1">
      <c r="A9" s="10"/>
      <c r="B9" s="10">
        <v>1.0</v>
      </c>
      <c r="C9" s="10">
        <v>1.0</v>
      </c>
      <c r="E9" s="1">
        <v>1.0</v>
      </c>
    </row>
    <row r="10" ht="15.75" customHeight="1">
      <c r="A10" s="10"/>
      <c r="B10" s="10">
        <v>1.0</v>
      </c>
      <c r="C10" s="10">
        <v>1.0</v>
      </c>
      <c r="E10" s="1">
        <v>1.0</v>
      </c>
    </row>
    <row r="11" ht="15.75" customHeight="1">
      <c r="A11" s="10"/>
      <c r="B11" s="10">
        <v>1.0</v>
      </c>
      <c r="C11" s="10">
        <v>1.0</v>
      </c>
      <c r="E11" s="1">
        <v>1.0</v>
      </c>
    </row>
    <row r="12" ht="15.75" customHeight="1">
      <c r="A12" s="10"/>
      <c r="B12" s="10">
        <v>1.0</v>
      </c>
      <c r="C12" s="10">
        <v>1.0</v>
      </c>
      <c r="E12" s="1">
        <v>1.0</v>
      </c>
    </row>
    <row r="13" ht="15.75" customHeight="1">
      <c r="A13" s="10"/>
      <c r="B13" s="10">
        <v>0.5</v>
      </c>
      <c r="C13" s="10">
        <v>1.0</v>
      </c>
      <c r="E13" s="1">
        <v>1.0</v>
      </c>
    </row>
    <row r="14" ht="15.75" customHeight="1">
      <c r="A14" s="10"/>
      <c r="B14" s="10">
        <v>1.0</v>
      </c>
      <c r="C14" s="10">
        <v>1.0</v>
      </c>
      <c r="E14" s="1">
        <v>1.0</v>
      </c>
    </row>
    <row r="15" ht="15.75" customHeight="1">
      <c r="A15" s="10"/>
      <c r="B15" s="10">
        <v>0.0</v>
      </c>
      <c r="C15" s="10">
        <v>0.0</v>
      </c>
      <c r="E15" s="1">
        <v>0.0</v>
      </c>
    </row>
    <row r="16" ht="15.75" customHeight="1">
      <c r="A16" s="10"/>
      <c r="B16" s="10">
        <v>0.0</v>
      </c>
      <c r="C16" s="10">
        <v>0.0</v>
      </c>
      <c r="E16" s="1">
        <v>0.5</v>
      </c>
    </row>
    <row r="17" ht="15.75" customHeight="1">
      <c r="A17" s="4"/>
      <c r="B17" s="4" t="s">
        <v>29</v>
      </c>
      <c r="C17" s="4" t="s">
        <v>29</v>
      </c>
      <c r="E17" s="1" t="s">
        <v>29</v>
      </c>
      <c r="F17" s="12">
        <v>0.0</v>
      </c>
    </row>
    <row r="18" ht="15.75" customHeight="1">
      <c r="A18" s="10"/>
      <c r="B18" s="10">
        <v>0.0</v>
      </c>
      <c r="C18" s="10">
        <v>0.0</v>
      </c>
      <c r="E18" s="1">
        <v>0.0</v>
      </c>
    </row>
    <row r="19" ht="15.75" customHeight="1">
      <c r="A19" s="10"/>
      <c r="B19" s="10">
        <v>1418.0</v>
      </c>
      <c r="C19" s="10">
        <v>2053.0</v>
      </c>
      <c r="E19" s="1">
        <v>1000.0</v>
      </c>
    </row>
    <row r="20" ht="15.75" customHeight="1">
      <c r="A20" s="4"/>
      <c r="B20" s="4" t="s">
        <v>39</v>
      </c>
      <c r="C20" s="4" t="s">
        <v>44</v>
      </c>
      <c r="E20" s="1" t="s">
        <v>80</v>
      </c>
    </row>
    <row r="21" ht="15.75" customHeight="1">
      <c r="A21" s="4"/>
      <c r="B21" s="13">
        <v>0.026</v>
      </c>
      <c r="C21" s="13">
        <v>0.022</v>
      </c>
      <c r="D21" s="5"/>
      <c r="E21" s="5">
        <v>0.031</v>
      </c>
    </row>
    <row r="22" ht="15.75" customHeight="1">
      <c r="A22" s="4" t="s">
        <v>86</v>
      </c>
      <c r="B22" s="1" t="str">
        <f t="shared" ref="B22:C22" si="3">0.2*SQRT(B3) + 134.6 / SQRT(B19)</f>
        <v>4.295541473</v>
      </c>
      <c r="C22" s="1" t="str">
        <f t="shared" si="3"/>
        <v>3.53632926</v>
      </c>
      <c r="E22" s="1" t="str">
        <f>0.2*SQRT(E3) + 134.6 / SQRT(E19)</f>
        <v>4.804148288</v>
      </c>
    </row>
    <row r="23" ht="15.75" customHeight="1">
      <c r="A23" s="4" t="s">
        <v>87</v>
      </c>
      <c r="B23" s="4" t="str">
        <f t="shared" ref="B23:C23" si="4">B5-B22</f>
        <v>8.804458527</v>
      </c>
      <c r="C23" s="4" t="str">
        <f t="shared" si="4"/>
        <v>2.46367074</v>
      </c>
      <c r="D23" s="4"/>
      <c r="E23" s="4" t="str">
        <f>E5-E22</f>
        <v>0.3958517119</v>
      </c>
      <c r="F23" s="4"/>
      <c r="G23" s="4"/>
      <c r="H23" s="4"/>
      <c r="I23" s="4" t="str">
        <f t="shared" ref="I23:K23" si="5">I6</f>
        <v/>
      </c>
      <c r="J23" s="4" t="str">
        <f t="shared" si="5"/>
        <v/>
      </c>
      <c r="K23" s="4" t="str">
        <f t="shared" si="5"/>
        <v/>
      </c>
    </row>
    <row r="24" ht="15.75" customHeight="1">
      <c r="A24" s="4" t="s">
        <v>88</v>
      </c>
      <c r="B24" s="4" t="str">
        <f t="shared" ref="B24:C24" si="6">B6</f>
        <v>13.1</v>
      </c>
      <c r="C24" s="4" t="str">
        <f t="shared" si="6"/>
        <v>6</v>
      </c>
      <c r="D24" s="4"/>
      <c r="E24" s="4" t="str">
        <f>E6</f>
        <v>-5.2</v>
      </c>
      <c r="F24" s="4"/>
      <c r="G24" s="4"/>
      <c r="H24" s="4"/>
    </row>
    <row r="25" ht="15.75" customHeight="1">
      <c r="A25" s="1" t="s">
        <v>89</v>
      </c>
      <c r="B25" s="1" t="str">
        <f t="shared" ref="B25:C25" si="7">0.84^7</f>
        <v>0.2950903466</v>
      </c>
      <c r="C25" s="1" t="str">
        <f t="shared" si="7"/>
        <v>0.2950903466</v>
      </c>
      <c r="E25" s="1" t="str">
        <f>0.84^2</f>
        <v>0.7056</v>
      </c>
    </row>
    <row r="26" ht="15.75" customHeight="1">
      <c r="A26" s="1" t="s">
        <v>93</v>
      </c>
      <c r="B26" s="1" t="str">
        <f t="shared" ref="B26:C26" si="8">B23*B25</f>
        <v>2.598110718</v>
      </c>
      <c r="C26" s="1" t="str">
        <f t="shared" si="8"/>
        <v>0.7270054526</v>
      </c>
      <c r="E26" s="1" t="str">
        <f>E23*E25</f>
        <v>0.2793129679</v>
      </c>
    </row>
    <row r="27" ht="15.75" customHeight="1">
      <c r="A27" s="1" t="s">
        <v>94</v>
      </c>
      <c r="B27" s="1" t="str">
        <f>SUM(B26:K26)/SUM(B25:K25)</f>
        <v>2.781666032</v>
      </c>
    </row>
    <row r="28" ht="15.75" customHeight="1">
      <c r="A28" s="1" t="s">
        <v>95</v>
      </c>
      <c r="B28" s="1" t="str">
        <f t="shared" ref="B28:C28" si="9">B23-3.49</f>
        <v>5.314458527</v>
      </c>
      <c r="C28" s="1" t="str">
        <f t="shared" si="9"/>
        <v>-1.02632926</v>
      </c>
      <c r="E28" s="1" t="str">
        <f>E23+1.304</f>
        <v>1.699851712</v>
      </c>
    </row>
    <row r="29" ht="15.75" customHeight="1">
      <c r="A29" s="4" t="s">
        <v>96</v>
      </c>
      <c r="B29" s="4" t="str">
        <f t="shared" ref="B29:C29" si="10">0.8*B28+0.2*B23</f>
        <v>6.012458527</v>
      </c>
      <c r="C29" s="4" t="str">
        <f t="shared" si="10"/>
        <v>-0.3283292597</v>
      </c>
      <c r="E29" s="4" t="str">
        <f>0.8*E28+0.2*E23</f>
        <v>1.439051712</v>
      </c>
    </row>
    <row r="30" ht="15.75" customHeight="1">
      <c r="A30" s="4" t="s">
        <v>97</v>
      </c>
      <c r="B30" s="4" t="str">
        <f t="shared" ref="B30:C30" si="11">B25*B29</f>
        <v>1.77421847</v>
      </c>
      <c r="C30" s="4" t="str">
        <f t="shared" si="11"/>
        <v>-0.09688679503</v>
      </c>
      <c r="E30" s="4" t="str">
        <f>E25*E29</f>
        <v>1.015394888</v>
      </c>
    </row>
    <row r="31" ht="15.75" customHeight="1">
      <c r="A31" s="4" t="s">
        <v>98</v>
      </c>
      <c r="B31" s="1" t="str">
        <f t="shared" ref="B31:C31" si="12">B24-7.8</f>
        <v>5.3</v>
      </c>
      <c r="C31" s="1" t="str">
        <f t="shared" si="12"/>
        <v>-1.8</v>
      </c>
      <c r="E31" s="1" t="str">
        <f>E24-2.05</f>
        <v>-7.25</v>
      </c>
    </row>
    <row r="32" ht="15.75" customHeight="1">
      <c r="A32" s="4" t="s">
        <v>99</v>
      </c>
      <c r="B32" s="4" t="str">
        <f t="shared" ref="B32:C32" si="13">0.8*B31+0.2*B24</f>
        <v>6.86</v>
      </c>
      <c r="C32" s="4" t="str">
        <f t="shared" si="13"/>
        <v>-0.24</v>
      </c>
      <c r="D32" s="4"/>
      <c r="E32" s="4" t="str">
        <f>0.8*E31+0.2*E24</f>
        <v>-6.84</v>
      </c>
      <c r="F32" s="4"/>
    </row>
    <row r="33" ht="15.75" customHeight="1">
      <c r="A33" s="4" t="s">
        <v>100</v>
      </c>
      <c r="B33" s="4" t="str">
        <f t="shared" ref="B33:C33" si="14">B25*B32</f>
        <v>2.024319777</v>
      </c>
      <c r="C33" s="4" t="str">
        <f t="shared" si="14"/>
        <v>-0.07082168317</v>
      </c>
      <c r="D33" s="4"/>
      <c r="E33" s="4" t="str">
        <f>E25*E32</f>
        <v>-4.826304</v>
      </c>
      <c r="F33" s="4"/>
    </row>
    <row r="34" ht="15.75" customHeight="1">
      <c r="A34" s="4" t="s">
        <v>101</v>
      </c>
      <c r="B34" s="4" t="str">
        <f>SUM(B30:K30)/SUM(B25:K25)</f>
        <v>2.078072761</v>
      </c>
      <c r="C34" s="4"/>
      <c r="E34" s="4"/>
      <c r="F34" s="4"/>
    </row>
    <row r="35" ht="15.75" customHeight="1">
      <c r="A35" s="4" t="s">
        <v>102</v>
      </c>
      <c r="B35" s="4" t="str">
        <f>ABS(SUM(B33:K33)/SUM(B25:K25))</f>
        <v>2.217046388</v>
      </c>
      <c r="C35" s="4"/>
      <c r="E35" s="4"/>
      <c r="F35" s="4"/>
    </row>
    <row r="36" ht="15.75" customHeight="1">
      <c r="A36" s="4" t="s">
        <v>103</v>
      </c>
      <c r="B36" s="4" t="str">
        <f>AVERAGE(B34:B35)</f>
        <v>2.147559575</v>
      </c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1" t="s">
        <v>104</v>
      </c>
      <c r="B39" s="1" t="str">
        <f t="shared" ref="B39:C39" si="15">SUM(B7:B16)*B25 </f>
        <v>2.213177599</v>
      </c>
      <c r="C39" s="1" t="str">
        <f t="shared" si="15"/>
        <v>2.360722772</v>
      </c>
      <c r="E39" s="1" t="str">
        <f>SUM(E7:E16)*E25 </f>
        <v>5.9976</v>
      </c>
    </row>
    <row r="40" ht="15.75" customHeight="1">
      <c r="A40" s="1" t="s">
        <v>105</v>
      </c>
      <c r="B40" s="1" t="str">
        <f>SUM(B39:K39)/SUM(B25:K25)</f>
        <v>8.158402442</v>
      </c>
      <c r="E40" s="4"/>
      <c r="F40" s="4"/>
    </row>
    <row r="41" ht="15.75" customHeight="1">
      <c r="A41" s="4"/>
      <c r="B41" s="1" t="str">
        <f>B40*0.7+F17*2+B18</f>
        <v>5.71088171</v>
      </c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0"/>
      <c r="B1" s="10">
        <v>3709.0</v>
      </c>
      <c r="C1" s="10">
        <v>3727.0</v>
      </c>
      <c r="D1" s="10">
        <v>3742.0</v>
      </c>
      <c r="F1" s="10">
        <v>9055.0</v>
      </c>
      <c r="G1" s="10">
        <v>9102.0</v>
      </c>
      <c r="H1" s="10">
        <v>9107.0</v>
      </c>
    </row>
    <row r="2" ht="15.75" customHeight="1">
      <c r="A2" s="4"/>
      <c r="B2" s="4" t="s">
        <v>5</v>
      </c>
      <c r="C2" s="4" t="s">
        <v>5</v>
      </c>
      <c r="D2" s="4" t="s">
        <v>5</v>
      </c>
      <c r="F2" s="4" t="s">
        <v>5</v>
      </c>
      <c r="G2" s="4" t="s">
        <v>5</v>
      </c>
      <c r="H2" s="4" t="s">
        <v>5</v>
      </c>
    </row>
    <row r="3" ht="15.75" customHeight="1">
      <c r="A3" s="10"/>
      <c r="B3" s="10">
        <v>13.0</v>
      </c>
      <c r="C3" s="10">
        <v>8.5</v>
      </c>
      <c r="D3" s="10">
        <v>7.5</v>
      </c>
      <c r="F3" s="10">
        <v>11.5</v>
      </c>
      <c r="G3" s="10">
        <v>8.5</v>
      </c>
      <c r="H3" s="10">
        <v>8.0</v>
      </c>
    </row>
    <row r="4" ht="15.75" customHeight="1">
      <c r="A4" s="10"/>
      <c r="B4" s="10">
        <v>28.0</v>
      </c>
      <c r="C4" s="10">
        <v>22.8</v>
      </c>
      <c r="D4" s="10">
        <v>22.0</v>
      </c>
      <c r="F4" s="10">
        <v>5.1</v>
      </c>
      <c r="G4" s="10">
        <v>1.4</v>
      </c>
      <c r="H4" s="10">
        <v>1.0</v>
      </c>
    </row>
    <row r="5" ht="15.75" customHeight="1">
      <c r="A5" s="10"/>
      <c r="B5" s="10" t="str">
        <f t="shared" ref="B5:D5" si="1">ABS(17.1 - B4)</f>
        <v>10.9</v>
      </c>
      <c r="C5" s="10" t="str">
        <f t="shared" si="1"/>
        <v>5.7</v>
      </c>
      <c r="D5" s="10" t="str">
        <f t="shared" si="1"/>
        <v>4.9</v>
      </c>
      <c r="F5" s="10" t="str">
        <f t="shared" ref="F5:H5" si="2">ABS(0.8 - F4)</f>
        <v>4.3</v>
      </c>
      <c r="G5" s="10" t="str">
        <f t="shared" si="2"/>
        <v>0.6</v>
      </c>
      <c r="H5" s="10" t="str">
        <f t="shared" si="2"/>
        <v>0.2</v>
      </c>
    </row>
    <row r="6" ht="15.75" customHeight="1">
      <c r="A6" s="10"/>
      <c r="B6" s="10" t="str">
        <f t="shared" ref="B6:D6" si="3">B4 - 17.1</f>
        <v>10.9</v>
      </c>
      <c r="C6" s="10" t="str">
        <f t="shared" si="3"/>
        <v>5.7</v>
      </c>
      <c r="D6" s="10" t="str">
        <f t="shared" si="3"/>
        <v>4.9</v>
      </c>
      <c r="F6" s="10" t="str">
        <f t="shared" ref="F6:H6" si="4">0.8 - F4</f>
        <v>-4.3</v>
      </c>
      <c r="G6" s="10" t="str">
        <f t="shared" si="4"/>
        <v>-0.6</v>
      </c>
      <c r="H6" s="10" t="str">
        <f t="shared" si="4"/>
        <v>-0.2</v>
      </c>
    </row>
    <row r="7" ht="15.75" customHeight="1">
      <c r="A7" s="10"/>
      <c r="B7" s="10">
        <v>1.0</v>
      </c>
      <c r="C7" s="10">
        <v>1.0</v>
      </c>
      <c r="D7" s="10">
        <v>1.0</v>
      </c>
      <c r="F7" s="10">
        <v>1.0</v>
      </c>
      <c r="G7" s="10">
        <v>1.0</v>
      </c>
      <c r="H7" s="10">
        <v>1.0</v>
      </c>
    </row>
    <row r="8" ht="15.75" customHeight="1">
      <c r="A8" s="10"/>
      <c r="B8" s="10">
        <v>1.0</v>
      </c>
      <c r="C8" s="10">
        <v>1.0</v>
      </c>
      <c r="D8" s="10">
        <v>1.0</v>
      </c>
      <c r="F8" s="10">
        <v>1.0</v>
      </c>
      <c r="G8" s="10">
        <v>1.0</v>
      </c>
      <c r="H8" s="10">
        <v>1.0</v>
      </c>
    </row>
    <row r="9" ht="15.75" customHeight="1">
      <c r="A9" s="10"/>
      <c r="B9" s="10">
        <v>1.0</v>
      </c>
      <c r="C9" s="10">
        <v>1.0</v>
      </c>
      <c r="D9" s="10">
        <v>1.0</v>
      </c>
      <c r="F9" s="10">
        <v>1.0</v>
      </c>
      <c r="G9" s="10">
        <v>1.0</v>
      </c>
      <c r="H9" s="10">
        <v>1.0</v>
      </c>
    </row>
    <row r="10" ht="15.75" customHeight="1">
      <c r="A10" s="10"/>
      <c r="B10" s="10">
        <v>1.0</v>
      </c>
      <c r="C10" s="10">
        <v>1.0</v>
      </c>
      <c r="D10" s="10">
        <v>1.0</v>
      </c>
      <c r="F10" s="10">
        <v>1.0</v>
      </c>
      <c r="G10" s="10">
        <v>1.0</v>
      </c>
      <c r="H10" s="10">
        <v>1.0</v>
      </c>
    </row>
    <row r="11" ht="15.75" customHeight="1">
      <c r="A11" s="10"/>
      <c r="B11" s="10">
        <v>1.0</v>
      </c>
      <c r="C11" s="10">
        <v>1.0</v>
      </c>
      <c r="D11" s="10">
        <v>1.0</v>
      </c>
      <c r="F11" s="10">
        <v>1.0</v>
      </c>
      <c r="G11" s="10">
        <v>1.0</v>
      </c>
      <c r="H11" s="10">
        <v>1.0</v>
      </c>
    </row>
    <row r="12" ht="15.75" customHeight="1">
      <c r="A12" s="10"/>
      <c r="B12" s="10">
        <v>1.0</v>
      </c>
      <c r="C12" s="10">
        <v>1.0</v>
      </c>
      <c r="D12" s="10">
        <v>1.0</v>
      </c>
      <c r="F12" s="10">
        <v>1.0</v>
      </c>
      <c r="G12" s="10">
        <v>1.0</v>
      </c>
      <c r="H12" s="10">
        <v>1.0</v>
      </c>
    </row>
    <row r="13" ht="15.75" customHeight="1">
      <c r="A13" s="10"/>
      <c r="B13" s="10">
        <v>1.0</v>
      </c>
      <c r="C13" s="10">
        <v>0.5</v>
      </c>
      <c r="D13" s="10">
        <v>1.0</v>
      </c>
      <c r="F13" s="10">
        <v>1.0</v>
      </c>
      <c r="G13" s="10">
        <v>1.0</v>
      </c>
      <c r="H13" s="10">
        <v>1.0</v>
      </c>
    </row>
    <row r="14" ht="15.75" customHeight="1">
      <c r="A14" s="10"/>
      <c r="B14" s="10">
        <v>1.0</v>
      </c>
      <c r="C14" s="10">
        <v>1.0</v>
      </c>
      <c r="D14" s="10">
        <v>1.0</v>
      </c>
      <c r="F14" s="10">
        <v>1.0</v>
      </c>
      <c r="G14" s="10">
        <v>1.0</v>
      </c>
      <c r="H14" s="10">
        <v>1.0</v>
      </c>
    </row>
    <row r="15" ht="15.75" customHeight="1">
      <c r="A15" s="10"/>
      <c r="B15" s="10">
        <v>1.0</v>
      </c>
      <c r="C15" s="10">
        <v>0.0</v>
      </c>
      <c r="D15" s="10">
        <v>1.0</v>
      </c>
      <c r="F15" s="10">
        <v>0.0</v>
      </c>
      <c r="G15" s="10">
        <v>0.0</v>
      </c>
      <c r="H15" s="10">
        <v>1.0</v>
      </c>
    </row>
    <row r="16" ht="15.75" customHeight="1">
      <c r="A16" s="10"/>
      <c r="B16" s="10">
        <v>0.0</v>
      </c>
      <c r="C16" s="10">
        <v>0.0</v>
      </c>
      <c r="D16" s="10">
        <v>1.0</v>
      </c>
      <c r="F16" s="10">
        <v>1.0</v>
      </c>
      <c r="G16" s="10">
        <v>0.5</v>
      </c>
      <c r="H16" s="10">
        <v>0.0</v>
      </c>
    </row>
    <row r="17" ht="15.75" customHeight="1">
      <c r="A17" s="4"/>
      <c r="B17" s="4" t="s">
        <v>28</v>
      </c>
      <c r="C17" s="11" t="s">
        <v>33</v>
      </c>
      <c r="D17" s="11" t="s">
        <v>28</v>
      </c>
      <c r="F17" s="4" t="s">
        <v>72</v>
      </c>
      <c r="G17" s="4" t="s">
        <v>28</v>
      </c>
      <c r="H17" s="4" t="s">
        <v>28</v>
      </c>
      <c r="I17" s="12">
        <v>1.0</v>
      </c>
    </row>
    <row r="18" ht="15.75" customHeight="1">
      <c r="A18" s="10"/>
      <c r="B18" s="10">
        <v>1.0</v>
      </c>
      <c r="C18" s="10">
        <v>1.0</v>
      </c>
      <c r="D18" s="10">
        <v>1.0</v>
      </c>
      <c r="F18" s="10">
        <v>1.0</v>
      </c>
      <c r="G18" s="10">
        <v>1.0</v>
      </c>
      <c r="H18" s="10">
        <v>1.0</v>
      </c>
    </row>
    <row r="19" ht="15.75" customHeight="1">
      <c r="A19" s="10"/>
      <c r="B19" s="10">
        <v>1006.0</v>
      </c>
      <c r="C19" s="10">
        <v>3077.0</v>
      </c>
      <c r="D19" s="10">
        <v>1015.0</v>
      </c>
      <c r="F19" s="10">
        <v>1004.0</v>
      </c>
      <c r="G19" s="10">
        <v>1005.0</v>
      </c>
      <c r="H19" s="10">
        <v>1002.0</v>
      </c>
    </row>
    <row r="20" ht="15.75" customHeight="1">
      <c r="A20" s="4"/>
      <c r="B20" s="4" t="s">
        <v>38</v>
      </c>
      <c r="C20" s="4" t="s">
        <v>41</v>
      </c>
      <c r="D20" s="4" t="s">
        <v>38</v>
      </c>
      <c r="F20" s="4" t="s">
        <v>80</v>
      </c>
      <c r="G20" s="4" t="s">
        <v>80</v>
      </c>
      <c r="H20" s="4" t="s">
        <v>80</v>
      </c>
    </row>
    <row r="21" ht="15.75" customHeight="1">
      <c r="A21" s="4"/>
      <c r="B21" s="13">
        <v>0.031</v>
      </c>
      <c r="C21" s="13">
        <v>0.018</v>
      </c>
      <c r="D21" s="13">
        <v>0.031</v>
      </c>
      <c r="E21" s="5"/>
      <c r="F21" s="13">
        <v>0.031</v>
      </c>
      <c r="G21" s="13">
        <v>0.031</v>
      </c>
      <c r="H21" s="13">
        <v>0.031</v>
      </c>
    </row>
    <row r="22" ht="15.75" customHeight="1">
      <c r="A22" s="4" t="s">
        <v>86</v>
      </c>
      <c r="B22" s="1" t="str">
        <f t="shared" ref="B22:D22" si="5">0.2*SQRT(B3) + 134.6 / SQRT(B19)</f>
        <v>4.964823884</v>
      </c>
      <c r="C22" s="1" t="str">
        <f t="shared" si="5"/>
        <v>3.009600867</v>
      </c>
      <c r="D22" s="1" t="str">
        <f t="shared" si="5"/>
        <v>4.7725798</v>
      </c>
      <c r="F22" s="1" t="str">
        <f t="shared" ref="F22:H22" si="6">0.2*SQRT(F3) + 134.6 / SQRT(F19)</f>
        <v>4.926171331</v>
      </c>
      <c r="G22" s="1" t="str">
        <f t="shared" si="6"/>
        <v>4.828919594</v>
      </c>
      <c r="H22" s="1" t="str">
        <f t="shared" si="6"/>
        <v>4.817861104</v>
      </c>
    </row>
    <row r="23" ht="15.75" customHeight="1">
      <c r="A23" s="4" t="s">
        <v>87</v>
      </c>
      <c r="B23" s="4" t="str">
        <f t="shared" ref="B23:D23" si="7">B5-B22</f>
        <v>5.935176116</v>
      </c>
      <c r="C23" s="4" t="str">
        <f t="shared" si="7"/>
        <v>2.690399133</v>
      </c>
      <c r="D23" s="4" t="str">
        <f t="shared" si="7"/>
        <v>0.1274202</v>
      </c>
      <c r="E23" s="4"/>
      <c r="F23" s="4" t="str">
        <f t="shared" ref="F23:H23" si="8">F5-F22</f>
        <v>-0.6261713312</v>
      </c>
      <c r="G23" s="4" t="str">
        <f t="shared" si="8"/>
        <v>-4.228919594</v>
      </c>
      <c r="H23" s="4" t="str">
        <f t="shared" si="8"/>
        <v>-4.617861104</v>
      </c>
      <c r="I23" s="4" t="str">
        <f t="shared" ref="I23:K23" si="9">I6</f>
        <v/>
      </c>
      <c r="J23" s="4" t="str">
        <f t="shared" si="9"/>
        <v/>
      </c>
      <c r="K23" s="4" t="str">
        <f t="shared" si="9"/>
        <v/>
      </c>
    </row>
    <row r="24" ht="15.75" customHeight="1">
      <c r="A24" s="4" t="s">
        <v>88</v>
      </c>
      <c r="B24" s="4" t="str">
        <f t="shared" ref="B24:D24" si="10">B6</f>
        <v>10.9</v>
      </c>
      <c r="C24" s="4" t="str">
        <f t="shared" si="10"/>
        <v>5.7</v>
      </c>
      <c r="D24" s="4" t="str">
        <f t="shared" si="10"/>
        <v>4.9</v>
      </c>
      <c r="E24" s="4"/>
      <c r="F24" s="4" t="str">
        <f t="shared" ref="F24:H24" si="11">F6</f>
        <v>-4.3</v>
      </c>
      <c r="G24" s="4" t="str">
        <f t="shared" si="11"/>
        <v>-0.6</v>
      </c>
      <c r="H24" s="4" t="str">
        <f t="shared" si="11"/>
        <v>-0.2</v>
      </c>
    </row>
    <row r="25" ht="15.75" customHeight="1">
      <c r="A25" s="1" t="s">
        <v>89</v>
      </c>
      <c r="B25" s="1" t="str">
        <f t="shared" ref="B25:D25" si="12">0.84^7</f>
        <v>0.2950903466</v>
      </c>
      <c r="C25" s="1" t="str">
        <f t="shared" si="12"/>
        <v>0.2950903466</v>
      </c>
      <c r="D25" s="1" t="str">
        <f t="shared" si="12"/>
        <v>0.2950903466</v>
      </c>
      <c r="F25" s="1" t="str">
        <f t="shared" ref="F25:H25" si="13">0.84^2</f>
        <v>0.7056</v>
      </c>
      <c r="G25" s="1" t="str">
        <f t="shared" si="13"/>
        <v>0.7056</v>
      </c>
      <c r="H25" s="1" t="str">
        <f t="shared" si="13"/>
        <v>0.7056</v>
      </c>
    </row>
    <row r="26" ht="15.75" customHeight="1">
      <c r="A26" s="1" t="s">
        <v>93</v>
      </c>
      <c r="B26" s="1" t="str">
        <f t="shared" ref="B26:D26" si="14">B23*B25</f>
        <v>1.751413177</v>
      </c>
      <c r="C26" s="1" t="str">
        <f t="shared" si="14"/>
        <v>0.7939108126</v>
      </c>
      <c r="D26" s="1" t="str">
        <f t="shared" si="14"/>
        <v>0.03760047099</v>
      </c>
      <c r="F26" s="1" t="str">
        <f t="shared" ref="F26:H26" si="15">F23*F25</f>
        <v>-0.4418264913</v>
      </c>
      <c r="G26" s="1" t="str">
        <f t="shared" si="15"/>
        <v>-2.983925666</v>
      </c>
      <c r="H26" s="1" t="str">
        <f t="shared" si="15"/>
        <v>-3.258362795</v>
      </c>
    </row>
    <row r="27" ht="15.75" customHeight="1">
      <c r="A27" s="1" t="s">
        <v>94</v>
      </c>
      <c r="B27" s="1" t="str">
        <f>SUM(B26:K26)/SUM(B25:K25)</f>
        <v>-1.366120401</v>
      </c>
    </row>
    <row r="28" ht="15.75" customHeight="1">
      <c r="A28" s="1" t="s">
        <v>95</v>
      </c>
      <c r="B28" s="1" t="str">
        <f t="shared" ref="B28:D28" si="16">B23-3.49</f>
        <v>2.445176116</v>
      </c>
      <c r="C28" s="1" t="str">
        <f t="shared" si="16"/>
        <v>-0.7996008667</v>
      </c>
      <c r="D28" s="1" t="str">
        <f t="shared" si="16"/>
        <v>-3.3625798</v>
      </c>
      <c r="F28" s="1" t="str">
        <f t="shared" ref="F28:H28" si="17">F23+1.304</f>
        <v>0.6778286688</v>
      </c>
      <c r="G28" s="1" t="str">
        <f t="shared" si="17"/>
        <v>-2.924919594</v>
      </c>
      <c r="H28" s="1" t="str">
        <f t="shared" si="17"/>
        <v>-3.313861104</v>
      </c>
    </row>
    <row r="29" ht="15.75" customHeight="1">
      <c r="A29" s="4" t="s">
        <v>96</v>
      </c>
      <c r="B29" s="4" t="str">
        <f t="shared" ref="B29:D29" si="18">0.8*B28+0.2*B23</f>
        <v>3.143176116</v>
      </c>
      <c r="C29" s="4" t="str">
        <f t="shared" si="18"/>
        <v>-0.1016008667</v>
      </c>
      <c r="D29" s="4" t="str">
        <f t="shared" si="18"/>
        <v>-2.6645798</v>
      </c>
      <c r="F29" s="4" t="str">
        <f t="shared" ref="F29:H29" si="19">0.8*F28+0.2*F23</f>
        <v>0.4170286688</v>
      </c>
      <c r="G29" s="4" t="str">
        <f t="shared" si="19"/>
        <v>-3.185719594</v>
      </c>
      <c r="H29" s="4" t="str">
        <f t="shared" si="19"/>
        <v>-3.574661104</v>
      </c>
    </row>
    <row r="30" ht="15.75" customHeight="1">
      <c r="A30" s="4" t="s">
        <v>97</v>
      </c>
      <c r="B30" s="4" t="str">
        <f t="shared" ref="B30:D30" si="20">B25*B29</f>
        <v>0.9275209292</v>
      </c>
      <c r="C30" s="4" t="str">
        <f t="shared" si="20"/>
        <v>-0.02998143498</v>
      </c>
      <c r="D30" s="4" t="str">
        <f t="shared" si="20"/>
        <v>-0.7862917766</v>
      </c>
      <c r="F30" s="4" t="str">
        <f t="shared" ref="F30:H30" si="21">F25*F29</f>
        <v>0.2942554287</v>
      </c>
      <c r="G30" s="4" t="str">
        <f t="shared" si="21"/>
        <v>-2.247843746</v>
      </c>
      <c r="H30" s="4" t="str">
        <f t="shared" si="21"/>
        <v>-2.522280875</v>
      </c>
    </row>
    <row r="31" ht="15.75" customHeight="1">
      <c r="A31" s="4" t="s">
        <v>98</v>
      </c>
      <c r="B31" s="1" t="str">
        <f t="shared" ref="B31:D31" si="22">B24-7.8</f>
        <v>3.1</v>
      </c>
      <c r="C31" s="1" t="str">
        <f t="shared" si="22"/>
        <v>-2.1</v>
      </c>
      <c r="D31" s="1" t="str">
        <f t="shared" si="22"/>
        <v>-2.9</v>
      </c>
      <c r="E31" s="4"/>
      <c r="F31" s="4" t="str">
        <f>0.8*F30+0.2*F23</f>
        <v>0.1101700768</v>
      </c>
      <c r="G31" s="4"/>
      <c r="H31" s="4" t="str">
        <f>0.8*H30+0.2*H23</f>
        <v>-2.941396921</v>
      </c>
    </row>
    <row r="32" ht="15.75" customHeight="1">
      <c r="A32" s="4" t="s">
        <v>99</v>
      </c>
      <c r="B32" s="4" t="str">
        <f t="shared" ref="B32:D32" si="23">0.8*B31+0.2*B24</f>
        <v>4.66</v>
      </c>
      <c r="C32" s="4" t="str">
        <f t="shared" si="23"/>
        <v>-0.54</v>
      </c>
      <c r="D32" s="4" t="str">
        <f t="shared" si="23"/>
        <v>-1.34</v>
      </c>
      <c r="E32" s="4"/>
      <c r="F32" s="4" t="str">
        <f>F24*F31</f>
        <v>-0.47373133</v>
      </c>
      <c r="G32" s="4"/>
      <c r="H32" s="4" t="str">
        <f>H24*H31</f>
        <v>0.5882793841</v>
      </c>
    </row>
    <row r="33" ht="15.75" customHeight="1">
      <c r="A33" s="4" t="s">
        <v>100</v>
      </c>
      <c r="B33" s="4" t="str">
        <f t="shared" ref="B33:D33" si="24">B25*B32</f>
        <v>1.375121015</v>
      </c>
      <c r="C33" s="4" t="str">
        <f t="shared" si="24"/>
        <v>-0.1593487871</v>
      </c>
      <c r="D33" s="4" t="str">
        <f t="shared" si="24"/>
        <v>-0.3954210644</v>
      </c>
      <c r="E33" s="4"/>
      <c r="F33" s="4"/>
    </row>
    <row r="34" ht="15.75" customHeight="1">
      <c r="A34" s="4" t="s">
        <v>101</v>
      </c>
      <c r="B34" s="4" t="str">
        <f>SUM(B30:K30)/SUM(B25:K25)</f>
        <v>-1.45387015</v>
      </c>
      <c r="C34" s="4"/>
      <c r="E34" s="4"/>
      <c r="F34" s="4"/>
    </row>
    <row r="35" ht="15.75" customHeight="1">
      <c r="A35" s="4" t="s">
        <v>102</v>
      </c>
      <c r="B35" s="4" t="str">
        <f>ABS(SUM(B33:K33)/SUM(B25:K25))</f>
        <v>0.2732617425</v>
      </c>
      <c r="C35" s="4"/>
      <c r="E35" s="4"/>
      <c r="F35" s="4"/>
    </row>
    <row r="36" ht="15.75" customHeight="1">
      <c r="A36" s="4" t="s">
        <v>103</v>
      </c>
      <c r="B36" s="4" t="str">
        <f>AVERAGE(B34:B35)</f>
        <v>-0.590304204</v>
      </c>
      <c r="C36" s="4"/>
      <c r="D36" s="4"/>
      <c r="F36" s="4"/>
      <c r="G36" s="4"/>
      <c r="H36" s="4"/>
    </row>
    <row r="37" ht="15.75" customHeight="1">
      <c r="A37" s="4"/>
      <c r="B37" s="4"/>
      <c r="C37" s="4"/>
      <c r="D37" s="4"/>
      <c r="F37" s="4"/>
      <c r="G37" s="4"/>
      <c r="H37" s="4"/>
    </row>
    <row r="38" ht="15.75" customHeight="1">
      <c r="A38" s="4"/>
      <c r="B38" s="4"/>
      <c r="C38" s="4"/>
      <c r="D38" s="4"/>
      <c r="F38" s="4"/>
      <c r="G38" s="4"/>
      <c r="H38" s="4"/>
    </row>
    <row r="39" ht="15.75" customHeight="1">
      <c r="A39" s="1" t="s">
        <v>104</v>
      </c>
      <c r="B39" s="1" t="str">
        <f t="shared" ref="B39:D39" si="25">SUM(B7:B16)*B25 </f>
        <v>2.655813119</v>
      </c>
      <c r="C39" s="1" t="str">
        <f t="shared" si="25"/>
        <v>2.213177599</v>
      </c>
      <c r="D39" s="1" t="str">
        <f t="shared" si="25"/>
        <v>2.950903466</v>
      </c>
      <c r="F39" s="1" t="str">
        <f t="shared" ref="F39:H39" si="26">SUM(F7:F16)*F25 </f>
        <v>6.3504</v>
      </c>
      <c r="G39" s="1" t="str">
        <f t="shared" si="26"/>
        <v>5.9976</v>
      </c>
      <c r="H39" s="1" t="str">
        <f t="shared" si="26"/>
        <v>6.3504</v>
      </c>
    </row>
    <row r="40" ht="15.75" customHeight="1">
      <c r="A40" s="1" t="s">
        <v>105</v>
      </c>
      <c r="B40" s="1" t="str">
        <f>SUM(B39:K39)/SUM(B25:K25)</f>
        <v>8.833333333</v>
      </c>
      <c r="E40" s="4"/>
      <c r="F40" s="4"/>
    </row>
    <row r="41" ht="15.75" customHeight="1">
      <c r="A41" s="4"/>
      <c r="B41" s="1" t="str">
        <f>B40*0.7+I17*2+B18</f>
        <v>9.183333333</v>
      </c>
      <c r="C41" s="4"/>
      <c r="D41" s="4"/>
      <c r="F41" s="4"/>
      <c r="G41" s="4"/>
      <c r="H41" s="4"/>
    </row>
    <row r="42" ht="15.75" customHeight="1">
      <c r="A42" s="4"/>
      <c r="B42" s="4"/>
      <c r="C42" s="4"/>
      <c r="D42" s="4"/>
      <c r="F42" s="4"/>
      <c r="G42" s="4"/>
      <c r="H42" s="4"/>
    </row>
    <row r="43" ht="15.75" customHeight="1">
      <c r="A43" s="4"/>
      <c r="B43" s="4"/>
      <c r="C43" s="4"/>
      <c r="D43" s="4"/>
      <c r="F43" s="4"/>
      <c r="G43" s="4"/>
      <c r="H43" s="4"/>
    </row>
    <row r="44" ht="15.75" customHeight="1">
      <c r="A44" s="4"/>
      <c r="B44" s="4"/>
      <c r="C44" s="4"/>
      <c r="D44" s="4"/>
      <c r="F44" s="4"/>
      <c r="G44" s="4"/>
      <c r="H44" s="4"/>
    </row>
    <row r="45" ht="15.75" customHeight="1">
      <c r="A45" s="4"/>
      <c r="B45" s="4"/>
      <c r="C45" s="4"/>
      <c r="D45" s="4"/>
      <c r="F45" s="4"/>
      <c r="G45" s="4"/>
      <c r="H45" s="4"/>
    </row>
    <row r="46" ht="15.75" customHeight="1">
      <c r="A46" s="4"/>
      <c r="B46" s="4"/>
      <c r="C46" s="4"/>
      <c r="D46" s="4"/>
      <c r="F46" s="4"/>
      <c r="G46" s="4"/>
      <c r="H46" s="4"/>
    </row>
    <row r="47" ht="15.75" customHeight="1">
      <c r="A47" s="4"/>
      <c r="B47" s="4"/>
      <c r="C47" s="4"/>
      <c r="D47" s="4"/>
      <c r="F47" s="4"/>
      <c r="G47" s="4"/>
      <c r="H47" s="4"/>
    </row>
    <row r="48" ht="15.75" customHeight="1">
      <c r="A48" s="4"/>
      <c r="B48" s="4"/>
      <c r="C48" s="4"/>
      <c r="D48" s="4"/>
      <c r="F48" s="4"/>
      <c r="G48" s="4"/>
      <c r="H48" s="4"/>
    </row>
    <row r="49" ht="15.75" customHeight="1">
      <c r="A49" s="4"/>
      <c r="B49" s="4"/>
      <c r="C49" s="4"/>
      <c r="D49" s="4"/>
      <c r="F49" s="4"/>
      <c r="G49" s="4"/>
      <c r="H49" s="4"/>
    </row>
    <row r="50" ht="15.75" customHeight="1">
      <c r="A50" s="4"/>
      <c r="B50" s="4"/>
      <c r="C50" s="4"/>
      <c r="D50" s="4"/>
      <c r="F50" s="4"/>
      <c r="G50" s="4"/>
      <c r="H50" s="4"/>
    </row>
    <row r="51" ht="15.75" customHeight="1">
      <c r="A51" s="4"/>
      <c r="B51" s="4"/>
      <c r="C51" s="4"/>
      <c r="D51" s="4"/>
      <c r="F51" s="4"/>
      <c r="G51" s="4"/>
      <c r="H51" s="4"/>
    </row>
    <row r="52" ht="15.75" customHeight="1">
      <c r="A52" s="4"/>
      <c r="B52" s="4"/>
      <c r="C52" s="4"/>
      <c r="D52" s="4"/>
      <c r="F52" s="4"/>
      <c r="G52" s="4"/>
      <c r="H52" s="4"/>
    </row>
    <row r="53" ht="15.75" customHeight="1">
      <c r="A53" s="4"/>
      <c r="B53" s="4"/>
      <c r="C53" s="4"/>
      <c r="D53" s="4"/>
      <c r="F53" s="4"/>
      <c r="G53" s="4"/>
      <c r="H53" s="4"/>
    </row>
    <row r="54" ht="15.75" customHeight="1">
      <c r="A54" s="4"/>
      <c r="B54" s="4"/>
      <c r="C54" s="4"/>
      <c r="D54" s="4"/>
      <c r="F54" s="4"/>
      <c r="G54" s="4"/>
      <c r="H54" s="4"/>
    </row>
    <row r="55" ht="15.75" customHeight="1">
      <c r="A55" s="4"/>
      <c r="B55" s="4"/>
      <c r="C55" s="4"/>
      <c r="D55" s="4"/>
      <c r="F55" s="4"/>
      <c r="G55" s="4"/>
      <c r="H55" s="4"/>
    </row>
    <row r="56" ht="15.75" customHeight="1">
      <c r="A56" s="4"/>
      <c r="B56" s="4"/>
      <c r="C56" s="4"/>
      <c r="D56" s="4"/>
      <c r="F56" s="4"/>
      <c r="G56" s="4"/>
      <c r="H56" s="4"/>
    </row>
    <row r="57" ht="15.75" customHeight="1">
      <c r="A57" s="4"/>
      <c r="B57" s="4"/>
      <c r="C57" s="4"/>
      <c r="D57" s="4"/>
      <c r="F57" s="4"/>
      <c r="G57" s="4"/>
      <c r="H57" s="4"/>
    </row>
    <row r="58" ht="15.75" customHeight="1">
      <c r="A58" s="4"/>
      <c r="B58" s="4"/>
      <c r="C58" s="4"/>
      <c r="D58" s="4"/>
      <c r="F58" s="4"/>
      <c r="G58" s="4"/>
      <c r="H58" s="4"/>
    </row>
    <row r="59" ht="15.75" customHeight="1">
      <c r="A59" s="4"/>
      <c r="B59" s="4"/>
      <c r="C59" s="4"/>
      <c r="D59" s="4"/>
      <c r="F59" s="4"/>
      <c r="G59" s="4"/>
      <c r="H59" s="4"/>
    </row>
    <row r="60" ht="15.75" customHeight="1">
      <c r="A60" s="4"/>
      <c r="B60" s="4"/>
      <c r="C60" s="4"/>
      <c r="D60" s="4"/>
      <c r="F60" s="4"/>
      <c r="G60" s="4"/>
      <c r="H60" s="4"/>
    </row>
    <row r="61" ht="15.75" customHeight="1">
      <c r="A61" s="4"/>
      <c r="B61" s="4"/>
      <c r="C61" s="4"/>
      <c r="D61" s="4"/>
      <c r="F61" s="4"/>
      <c r="G61" s="4"/>
      <c r="H61" s="4"/>
    </row>
    <row r="62" ht="15.75" customHeight="1">
      <c r="A62" s="4"/>
      <c r="B62" s="4"/>
      <c r="C62" s="4"/>
      <c r="D62" s="4"/>
      <c r="F62" s="4"/>
      <c r="G62" s="4"/>
      <c r="H62" s="4"/>
    </row>
    <row r="63" ht="15.75" customHeight="1">
      <c r="A63" s="4"/>
      <c r="B63" s="4"/>
      <c r="C63" s="4"/>
      <c r="D63" s="4"/>
      <c r="F63" s="4"/>
      <c r="G63" s="4"/>
      <c r="H63" s="4"/>
    </row>
    <row r="64" ht="15.75" customHeight="1">
      <c r="A64" s="4"/>
      <c r="B64" s="4"/>
      <c r="C64" s="4"/>
      <c r="D64" s="4"/>
      <c r="F64" s="4"/>
      <c r="G64" s="4"/>
      <c r="H64" s="4"/>
    </row>
    <row r="65" ht="15.75" customHeight="1">
      <c r="A65" s="4"/>
      <c r="B65" s="4"/>
      <c r="C65" s="4"/>
      <c r="D65" s="4"/>
      <c r="F65" s="4"/>
      <c r="G65" s="4"/>
      <c r="H65" s="4"/>
    </row>
    <row r="66" ht="15.75" customHeight="1">
      <c r="A66" s="4"/>
      <c r="B66" s="4"/>
      <c r="C66" s="4"/>
      <c r="D66" s="4"/>
      <c r="F66" s="4"/>
      <c r="G66" s="4"/>
      <c r="H66" s="4"/>
    </row>
    <row r="67" ht="15.75" customHeight="1">
      <c r="A67" s="4"/>
      <c r="B67" s="4"/>
      <c r="C67" s="4"/>
      <c r="D67" s="4"/>
      <c r="F67" s="4"/>
      <c r="G67" s="4"/>
      <c r="H67" s="4"/>
    </row>
    <row r="68" ht="15.75" customHeight="1">
      <c r="A68" s="4"/>
      <c r="B68" s="4"/>
      <c r="C68" s="4"/>
      <c r="D68" s="4"/>
      <c r="F68" s="4"/>
      <c r="G68" s="4"/>
      <c r="H68" s="4"/>
    </row>
    <row r="69" ht="15.75" customHeight="1">
      <c r="A69" s="4"/>
      <c r="B69" s="4"/>
      <c r="C69" s="4"/>
      <c r="D69" s="4"/>
      <c r="F69" s="4"/>
      <c r="G69" s="4"/>
      <c r="H69" s="4"/>
    </row>
    <row r="70" ht="15.75" customHeight="1">
      <c r="A70" s="4"/>
      <c r="B70" s="4"/>
      <c r="C70" s="4"/>
      <c r="D70" s="4"/>
      <c r="F70" s="4"/>
      <c r="G70" s="4"/>
      <c r="H70" s="4"/>
    </row>
    <row r="71" ht="15.75" customHeight="1">
      <c r="A71" s="4"/>
      <c r="B71" s="4"/>
      <c r="C71" s="4"/>
      <c r="D71" s="4"/>
      <c r="F71" s="4"/>
      <c r="G71" s="4"/>
      <c r="H71" s="4"/>
    </row>
    <row r="72" ht="15.75" customHeight="1">
      <c r="A72" s="4"/>
      <c r="B72" s="4"/>
      <c r="C72" s="4"/>
      <c r="D72" s="4"/>
      <c r="F72" s="4"/>
      <c r="G72" s="4"/>
      <c r="H72" s="4"/>
    </row>
    <row r="73" ht="15.75" customHeight="1">
      <c r="A73" s="4"/>
      <c r="B73" s="4"/>
      <c r="C73" s="4"/>
      <c r="D73" s="4"/>
      <c r="F73" s="4"/>
      <c r="G73" s="4"/>
      <c r="H73" s="4"/>
    </row>
    <row r="74" ht="15.75" customHeight="1">
      <c r="A74" s="4"/>
      <c r="B74" s="4"/>
      <c r="C74" s="4"/>
      <c r="D74" s="4"/>
      <c r="F74" s="4"/>
      <c r="G74" s="4"/>
      <c r="H74" s="4"/>
    </row>
    <row r="75" ht="15.75" customHeight="1">
      <c r="A75" s="4"/>
      <c r="B75" s="4"/>
      <c r="C75" s="4"/>
      <c r="D75" s="4"/>
      <c r="F75" s="4"/>
      <c r="G75" s="4"/>
      <c r="H75" s="4"/>
    </row>
    <row r="76" ht="15.75" customHeight="1">
      <c r="A76" s="4"/>
      <c r="B76" s="4"/>
      <c r="C76" s="4"/>
      <c r="D76" s="4"/>
      <c r="F76" s="4"/>
      <c r="G76" s="4"/>
      <c r="H76" s="4"/>
    </row>
    <row r="77" ht="15.75" customHeight="1">
      <c r="A77" s="4"/>
      <c r="B77" s="4"/>
      <c r="C77" s="4"/>
      <c r="D77" s="4"/>
      <c r="F77" s="4"/>
      <c r="G77" s="4"/>
      <c r="H77" s="4"/>
    </row>
    <row r="78" ht="15.75" customHeight="1">
      <c r="A78" s="4"/>
      <c r="B78" s="4"/>
      <c r="C78" s="4"/>
      <c r="D78" s="4"/>
      <c r="F78" s="4"/>
      <c r="G78" s="4"/>
      <c r="H78" s="4"/>
    </row>
    <row r="79" ht="15.75" customHeight="1">
      <c r="A79" s="4"/>
      <c r="B79" s="4"/>
      <c r="C79" s="4"/>
      <c r="D79" s="4"/>
      <c r="F79" s="4"/>
      <c r="G79" s="4"/>
      <c r="H79" s="4"/>
    </row>
    <row r="80" ht="15.75" customHeight="1">
      <c r="A80" s="4"/>
      <c r="B80" s="4"/>
      <c r="C80" s="4"/>
      <c r="D80" s="4"/>
      <c r="F80" s="4"/>
      <c r="G80" s="4"/>
      <c r="H80" s="4"/>
    </row>
    <row r="81" ht="15.75" customHeight="1">
      <c r="A81" s="4"/>
      <c r="B81" s="4"/>
      <c r="C81" s="4"/>
      <c r="D81" s="4"/>
      <c r="F81" s="4"/>
      <c r="G81" s="4"/>
      <c r="H81" s="4"/>
    </row>
    <row r="82" ht="15.75" customHeight="1">
      <c r="A82" s="4"/>
      <c r="B82" s="4"/>
      <c r="C82" s="4"/>
      <c r="D82" s="4"/>
      <c r="F82" s="4"/>
      <c r="G82" s="4"/>
      <c r="H82" s="4"/>
    </row>
    <row r="83" ht="15.75" customHeight="1">
      <c r="A83" s="4"/>
      <c r="B83" s="4"/>
      <c r="C83" s="4"/>
      <c r="D83" s="4"/>
      <c r="F83" s="4"/>
      <c r="G83" s="4"/>
      <c r="H83" s="4"/>
    </row>
    <row r="84" ht="15.75" customHeight="1">
      <c r="A84" s="4"/>
      <c r="B84" s="4"/>
      <c r="C84" s="4"/>
      <c r="D84" s="4"/>
      <c r="F84" s="4"/>
      <c r="G84" s="4"/>
      <c r="H84" s="4"/>
    </row>
    <row r="85" ht="15.75" customHeight="1">
      <c r="A85" s="4"/>
      <c r="B85" s="4"/>
      <c r="C85" s="4"/>
      <c r="D85" s="4"/>
      <c r="F85" s="4"/>
      <c r="G85" s="4"/>
      <c r="H85" s="4"/>
    </row>
    <row r="86" ht="15.75" customHeight="1">
      <c r="A86" s="4"/>
      <c r="B86" s="4"/>
      <c r="C86" s="4"/>
      <c r="D86" s="4"/>
      <c r="F86" s="4"/>
      <c r="G86" s="4"/>
      <c r="H86" s="4"/>
    </row>
    <row r="87" ht="15.75" customHeight="1">
      <c r="A87" s="4"/>
      <c r="B87" s="4"/>
      <c r="C87" s="4"/>
      <c r="D87" s="4"/>
      <c r="F87" s="4"/>
      <c r="G87" s="4"/>
      <c r="H87" s="4"/>
    </row>
    <row r="88" ht="15.75" customHeight="1">
      <c r="A88" s="4"/>
      <c r="B88" s="4"/>
      <c r="C88" s="4"/>
      <c r="D88" s="4"/>
      <c r="F88" s="4"/>
      <c r="G88" s="4"/>
      <c r="H88" s="4"/>
    </row>
    <row r="89" ht="15.75" customHeight="1">
      <c r="A89" s="4"/>
      <c r="B89" s="4"/>
      <c r="C89" s="4"/>
      <c r="D89" s="4"/>
      <c r="F89" s="4"/>
      <c r="G89" s="4"/>
      <c r="H89" s="4"/>
    </row>
    <row r="90" ht="15.75" customHeight="1">
      <c r="A90" s="4"/>
      <c r="B90" s="4"/>
      <c r="C90" s="4"/>
      <c r="D90" s="4"/>
      <c r="F90" s="4"/>
      <c r="G90" s="4"/>
      <c r="H90" s="4"/>
    </row>
    <row r="91" ht="15.75" customHeight="1">
      <c r="A91" s="4"/>
      <c r="B91" s="4"/>
      <c r="C91" s="4"/>
      <c r="D91" s="4"/>
      <c r="F91" s="4"/>
      <c r="G91" s="4"/>
      <c r="H91" s="4"/>
    </row>
    <row r="92" ht="15.75" customHeight="1">
      <c r="A92" s="4"/>
      <c r="B92" s="4"/>
      <c r="C92" s="4"/>
      <c r="D92" s="4"/>
      <c r="F92" s="4"/>
      <c r="G92" s="4"/>
      <c r="H92" s="4"/>
    </row>
    <row r="93" ht="15.75" customHeight="1">
      <c r="A93" s="4"/>
      <c r="B93" s="4"/>
      <c r="C93" s="4"/>
      <c r="D93" s="4"/>
      <c r="F93" s="4"/>
      <c r="G93" s="4"/>
      <c r="H93" s="4"/>
    </row>
    <row r="94" ht="15.75" customHeight="1">
      <c r="A94" s="4"/>
      <c r="B94" s="4"/>
      <c r="C94" s="4"/>
      <c r="D94" s="4"/>
      <c r="F94" s="4"/>
      <c r="G94" s="4"/>
      <c r="H94" s="4"/>
    </row>
    <row r="95" ht="15.75" customHeight="1">
      <c r="A95" s="4"/>
      <c r="B95" s="4"/>
      <c r="C95" s="4"/>
      <c r="D95" s="4"/>
      <c r="F95" s="4"/>
      <c r="G95" s="4"/>
      <c r="H95" s="4"/>
    </row>
    <row r="96" ht="15.75" customHeight="1">
      <c r="A96" s="4"/>
      <c r="B96" s="4"/>
      <c r="C96" s="4"/>
      <c r="D96" s="4"/>
      <c r="F96" s="4"/>
      <c r="G96" s="4"/>
      <c r="H96" s="4"/>
    </row>
    <row r="97" ht="15.75" customHeight="1">
      <c r="A97" s="4"/>
      <c r="B97" s="4"/>
      <c r="C97" s="4"/>
      <c r="D97" s="4"/>
      <c r="F97" s="4"/>
      <c r="G97" s="4"/>
      <c r="H97" s="4"/>
    </row>
    <row r="98" ht="15.75" customHeight="1">
      <c r="A98" s="4"/>
      <c r="B98" s="4"/>
      <c r="C98" s="4"/>
      <c r="D98" s="4"/>
      <c r="F98" s="4"/>
      <c r="G98" s="4"/>
      <c r="H98" s="4"/>
    </row>
    <row r="99" ht="15.75" customHeight="1">
      <c r="A99" s="4"/>
      <c r="B99" s="4"/>
      <c r="C99" s="4"/>
      <c r="D99" s="4"/>
      <c r="F99" s="4"/>
      <c r="G99" s="4"/>
      <c r="H99" s="4"/>
    </row>
    <row r="100" ht="15.75" customHeight="1">
      <c r="A100" s="4"/>
      <c r="B100" s="4"/>
      <c r="C100" s="4"/>
      <c r="D100" s="4"/>
      <c r="F100" s="4"/>
      <c r="G100" s="4"/>
      <c r="H100" s="4"/>
    </row>
    <row r="101" ht="15.75" customHeight="1">
      <c r="A101" s="4"/>
      <c r="B101" s="4"/>
      <c r="C101" s="4"/>
      <c r="D101" s="4"/>
      <c r="F101" s="4"/>
      <c r="G101" s="4"/>
      <c r="H101" s="4"/>
    </row>
    <row r="102" ht="15.75" customHeight="1">
      <c r="A102" s="4"/>
      <c r="B102" s="4"/>
      <c r="C102" s="4"/>
      <c r="D102" s="4"/>
      <c r="F102" s="4"/>
      <c r="G102" s="4"/>
      <c r="H102" s="4"/>
    </row>
    <row r="103" ht="15.75" customHeight="1">
      <c r="A103" s="4"/>
      <c r="B103" s="4"/>
      <c r="C103" s="4"/>
      <c r="D103" s="4"/>
      <c r="F103" s="4"/>
      <c r="G103" s="4"/>
      <c r="H103" s="4"/>
    </row>
    <row r="104" ht="15.75" customHeight="1">
      <c r="A104" s="4"/>
      <c r="B104" s="4"/>
      <c r="C104" s="4"/>
      <c r="D104" s="4"/>
      <c r="F104" s="4"/>
      <c r="G104" s="4"/>
      <c r="H104" s="4"/>
    </row>
    <row r="105" ht="15.75" customHeight="1">
      <c r="A105" s="4"/>
      <c r="B105" s="4"/>
      <c r="C105" s="4"/>
      <c r="D105" s="4"/>
      <c r="F105" s="4"/>
      <c r="G105" s="4"/>
      <c r="H105" s="4"/>
    </row>
    <row r="106" ht="15.75" customHeight="1">
      <c r="A106" s="4"/>
      <c r="B106" s="4"/>
      <c r="C106" s="4"/>
      <c r="D106" s="4"/>
      <c r="F106" s="4"/>
      <c r="G106" s="4"/>
      <c r="H106" s="4"/>
    </row>
    <row r="107" ht="15.75" customHeight="1">
      <c r="A107" s="4"/>
      <c r="B107" s="4"/>
      <c r="C107" s="4"/>
      <c r="D107" s="4"/>
      <c r="F107" s="4"/>
      <c r="G107" s="4"/>
      <c r="H107" s="4"/>
    </row>
    <row r="108" ht="15.75" customHeight="1">
      <c r="A108" s="4"/>
      <c r="B108" s="4"/>
      <c r="C108" s="4"/>
      <c r="D108" s="4"/>
      <c r="F108" s="4"/>
      <c r="G108" s="4"/>
      <c r="H108" s="4"/>
    </row>
    <row r="109" ht="15.75" customHeight="1">
      <c r="A109" s="4"/>
      <c r="B109" s="4"/>
      <c r="C109" s="4"/>
      <c r="D109" s="4"/>
      <c r="F109" s="4"/>
      <c r="G109" s="4"/>
      <c r="H109" s="4"/>
    </row>
    <row r="110" ht="15.75" customHeight="1">
      <c r="A110" s="4"/>
      <c r="B110" s="4"/>
      <c r="C110" s="4"/>
      <c r="D110" s="4"/>
      <c r="F110" s="4"/>
      <c r="G110" s="4"/>
      <c r="H110" s="4"/>
    </row>
    <row r="111" ht="15.75" customHeight="1">
      <c r="A111" s="4"/>
      <c r="B111" s="4"/>
      <c r="C111" s="4"/>
      <c r="D111" s="4"/>
      <c r="F111" s="4"/>
      <c r="G111" s="4"/>
      <c r="H111" s="4"/>
    </row>
    <row r="112" ht="15.75" customHeight="1">
      <c r="A112" s="4"/>
      <c r="B112" s="4"/>
      <c r="C112" s="4"/>
      <c r="D112" s="4"/>
      <c r="F112" s="4"/>
      <c r="G112" s="4"/>
      <c r="H112" s="4"/>
    </row>
    <row r="113" ht="15.75" customHeight="1">
      <c r="A113" s="4"/>
      <c r="B113" s="4"/>
      <c r="C113" s="4"/>
      <c r="D113" s="4"/>
      <c r="F113" s="4"/>
      <c r="G113" s="4"/>
      <c r="H113" s="4"/>
    </row>
    <row r="114" ht="15.75" customHeight="1">
      <c r="A114" s="4"/>
      <c r="B114" s="4"/>
      <c r="C114" s="4"/>
      <c r="D114" s="4"/>
      <c r="F114" s="4"/>
      <c r="G114" s="4"/>
      <c r="H114" s="4"/>
    </row>
    <row r="115" ht="15.75" customHeight="1">
      <c r="A115" s="4"/>
      <c r="B115" s="4"/>
      <c r="C115" s="4"/>
      <c r="D115" s="4"/>
      <c r="F115" s="4"/>
      <c r="G115" s="4"/>
      <c r="H115" s="4"/>
    </row>
    <row r="116" ht="15.75" customHeight="1">
      <c r="A116" s="4"/>
      <c r="B116" s="4"/>
      <c r="C116" s="4"/>
      <c r="D116" s="4"/>
      <c r="F116" s="4"/>
      <c r="G116" s="4"/>
      <c r="H116" s="4"/>
    </row>
    <row r="117" ht="15.75" customHeight="1">
      <c r="A117" s="4"/>
      <c r="B117" s="4"/>
      <c r="C117" s="4"/>
      <c r="D117" s="4"/>
      <c r="F117" s="4"/>
      <c r="G117" s="4"/>
      <c r="H117" s="4"/>
    </row>
    <row r="118" ht="15.75" customHeight="1">
      <c r="A118" s="4"/>
      <c r="B118" s="4"/>
      <c r="C118" s="4"/>
      <c r="D118" s="4"/>
      <c r="F118" s="4"/>
      <c r="G118" s="4"/>
      <c r="H118" s="4"/>
    </row>
    <row r="119" ht="15.75" customHeight="1">
      <c r="A119" s="4"/>
      <c r="B119" s="4"/>
      <c r="C119" s="4"/>
      <c r="D119" s="4"/>
      <c r="F119" s="4"/>
      <c r="G119" s="4"/>
      <c r="H119" s="4"/>
    </row>
    <row r="120" ht="15.75" customHeight="1">
      <c r="A120" s="4"/>
      <c r="B120" s="4"/>
      <c r="C120" s="4"/>
      <c r="D120" s="4"/>
      <c r="F120" s="4"/>
      <c r="G120" s="4"/>
      <c r="H120" s="4"/>
    </row>
    <row r="121" ht="15.75" customHeight="1">
      <c r="A121" s="4"/>
      <c r="B121" s="4"/>
      <c r="C121" s="4"/>
      <c r="D121" s="4"/>
      <c r="F121" s="4"/>
      <c r="G121" s="4"/>
      <c r="H121" s="4"/>
    </row>
    <row r="122" ht="15.75" customHeight="1">
      <c r="A122" s="4"/>
      <c r="B122" s="4"/>
      <c r="C122" s="4"/>
      <c r="D122" s="4"/>
      <c r="F122" s="4"/>
      <c r="G122" s="4"/>
      <c r="H122" s="4"/>
    </row>
    <row r="123" ht="15.75" customHeight="1">
      <c r="A123" s="4"/>
      <c r="B123" s="4"/>
      <c r="C123" s="4"/>
      <c r="D123" s="4"/>
      <c r="F123" s="4"/>
      <c r="G123" s="4"/>
      <c r="H123" s="4"/>
    </row>
    <row r="124" ht="15.75" customHeight="1">
      <c r="A124" s="4"/>
      <c r="B124" s="4"/>
      <c r="C124" s="4"/>
      <c r="D124" s="4"/>
      <c r="F124" s="4"/>
      <c r="G124" s="4"/>
      <c r="H124" s="4"/>
    </row>
    <row r="125" ht="15.75" customHeight="1">
      <c r="A125" s="4"/>
      <c r="B125" s="4"/>
      <c r="C125" s="4"/>
      <c r="D125" s="4"/>
      <c r="F125" s="4"/>
      <c r="G125" s="4"/>
      <c r="H125" s="4"/>
    </row>
    <row r="126" ht="15.75" customHeight="1">
      <c r="A126" s="4"/>
      <c r="B126" s="4"/>
      <c r="C126" s="4"/>
      <c r="D126" s="4"/>
      <c r="F126" s="4"/>
      <c r="G126" s="4"/>
      <c r="H126" s="4"/>
    </row>
    <row r="127" ht="15.75" customHeight="1">
      <c r="A127" s="4"/>
      <c r="B127" s="4"/>
      <c r="C127" s="4"/>
      <c r="D127" s="4"/>
      <c r="F127" s="4"/>
      <c r="G127" s="4"/>
      <c r="H127" s="4"/>
    </row>
    <row r="128" ht="15.75" customHeight="1">
      <c r="A128" s="4"/>
      <c r="B128" s="4"/>
      <c r="C128" s="4"/>
      <c r="D128" s="4"/>
      <c r="F128" s="4"/>
      <c r="G128" s="4"/>
      <c r="H128" s="4"/>
    </row>
    <row r="129" ht="15.75" customHeight="1">
      <c r="A129" s="4"/>
      <c r="B129" s="4"/>
      <c r="C129" s="4"/>
      <c r="D129" s="4"/>
      <c r="F129" s="4"/>
      <c r="G129" s="4"/>
      <c r="H129" s="4"/>
    </row>
    <row r="130" ht="15.75" customHeight="1">
      <c r="A130" s="4"/>
      <c r="B130" s="4"/>
      <c r="C130" s="4"/>
      <c r="D130" s="4"/>
      <c r="F130" s="4"/>
      <c r="G130" s="4"/>
      <c r="H130" s="4"/>
    </row>
    <row r="131" ht="15.75" customHeight="1">
      <c r="A131" s="4"/>
      <c r="B131" s="4"/>
      <c r="C131" s="4"/>
      <c r="D131" s="4"/>
      <c r="F131" s="4"/>
      <c r="G131" s="4"/>
      <c r="H131" s="4"/>
    </row>
    <row r="132" ht="15.75" customHeight="1">
      <c r="A132" s="4"/>
      <c r="B132" s="4"/>
      <c r="C132" s="4"/>
      <c r="D132" s="4"/>
      <c r="F132" s="4"/>
      <c r="G132" s="4"/>
      <c r="H132" s="4"/>
    </row>
    <row r="133" ht="15.75" customHeight="1">
      <c r="A133" s="4"/>
      <c r="B133" s="4"/>
      <c r="C133" s="4"/>
      <c r="D133" s="4"/>
      <c r="F133" s="4"/>
      <c r="G133" s="4"/>
      <c r="H133" s="4"/>
    </row>
    <row r="134" ht="15.75" customHeight="1">
      <c r="A134" s="4"/>
      <c r="B134" s="4"/>
      <c r="C134" s="4"/>
      <c r="D134" s="4"/>
      <c r="F134" s="4"/>
      <c r="G134" s="4"/>
      <c r="H134" s="4"/>
    </row>
    <row r="135" ht="15.75" customHeight="1">
      <c r="A135" s="4"/>
      <c r="B135" s="4"/>
      <c r="C135" s="4"/>
      <c r="D135" s="4"/>
      <c r="F135" s="4"/>
      <c r="G135" s="4"/>
      <c r="H135" s="4"/>
    </row>
    <row r="136" ht="15.75" customHeight="1">
      <c r="A136" s="4"/>
      <c r="B136" s="4"/>
      <c r="C136" s="4"/>
      <c r="D136" s="4"/>
      <c r="F136" s="4"/>
      <c r="G136" s="4"/>
      <c r="H136" s="4"/>
    </row>
    <row r="137" ht="15.75" customHeight="1">
      <c r="A137" s="4"/>
      <c r="B137" s="4"/>
      <c r="C137" s="4"/>
      <c r="D137" s="4"/>
      <c r="F137" s="4"/>
      <c r="G137" s="4"/>
      <c r="H137" s="4"/>
    </row>
    <row r="138" ht="15.75" customHeight="1">
      <c r="A138" s="4"/>
      <c r="B138" s="4"/>
      <c r="C138" s="4"/>
      <c r="D138" s="4"/>
      <c r="F138" s="4"/>
      <c r="G138" s="4"/>
      <c r="H138" s="4"/>
    </row>
    <row r="139" ht="15.75" customHeight="1">
      <c r="A139" s="4"/>
      <c r="B139" s="4"/>
      <c r="C139" s="4"/>
      <c r="D139" s="4"/>
      <c r="F139" s="4"/>
      <c r="G139" s="4"/>
      <c r="H139" s="4"/>
    </row>
    <row r="140" ht="15.75" customHeight="1">
      <c r="A140" s="4"/>
      <c r="B140" s="4"/>
      <c r="C140" s="4"/>
      <c r="D140" s="4"/>
      <c r="F140" s="4"/>
      <c r="G140" s="4"/>
      <c r="H140" s="4"/>
    </row>
    <row r="141" ht="15.75" customHeight="1">
      <c r="A141" s="4"/>
      <c r="B141" s="4"/>
      <c r="C141" s="4"/>
      <c r="D141" s="4"/>
      <c r="F141" s="4"/>
      <c r="G141" s="4"/>
      <c r="H141" s="4"/>
    </row>
    <row r="142" ht="15.75" customHeight="1">
      <c r="A142" s="4"/>
      <c r="B142" s="4"/>
      <c r="C142" s="4"/>
      <c r="D142" s="4"/>
      <c r="F142" s="4"/>
      <c r="G142" s="4"/>
      <c r="H142" s="4"/>
    </row>
    <row r="143" ht="15.75" customHeight="1">
      <c r="A143" s="4"/>
      <c r="B143" s="4"/>
      <c r="C143" s="4"/>
      <c r="D143" s="4"/>
      <c r="F143" s="4"/>
      <c r="G143" s="4"/>
      <c r="H143" s="4"/>
    </row>
    <row r="144" ht="15.75" customHeight="1">
      <c r="A144" s="4"/>
      <c r="B144" s="4"/>
      <c r="C144" s="4"/>
      <c r="D144" s="4"/>
      <c r="F144" s="4"/>
      <c r="G144" s="4"/>
      <c r="H144" s="4"/>
    </row>
    <row r="145" ht="15.75" customHeight="1">
      <c r="A145" s="4"/>
      <c r="B145" s="4"/>
      <c r="C145" s="4"/>
      <c r="D145" s="4"/>
      <c r="F145" s="4"/>
      <c r="G145" s="4"/>
      <c r="H145" s="4"/>
    </row>
    <row r="146" ht="15.75" customHeight="1">
      <c r="A146" s="4"/>
      <c r="B146" s="4"/>
      <c r="C146" s="4"/>
      <c r="D146" s="4"/>
      <c r="F146" s="4"/>
      <c r="G146" s="4"/>
      <c r="H146" s="4"/>
    </row>
    <row r="147" ht="15.75" customHeight="1">
      <c r="A147" s="4"/>
      <c r="B147" s="4"/>
      <c r="C147" s="4"/>
      <c r="D147" s="4"/>
      <c r="F147" s="4"/>
      <c r="G147" s="4"/>
      <c r="H147" s="4"/>
    </row>
    <row r="148" ht="15.75" customHeight="1">
      <c r="A148" s="4"/>
      <c r="B148" s="4"/>
      <c r="C148" s="4"/>
      <c r="D148" s="4"/>
      <c r="F148" s="4"/>
      <c r="G148" s="4"/>
      <c r="H148" s="4"/>
    </row>
    <row r="149" ht="15.75" customHeight="1">
      <c r="A149" s="4"/>
      <c r="B149" s="4"/>
      <c r="C149" s="4"/>
      <c r="D149" s="4"/>
      <c r="F149" s="4"/>
      <c r="G149" s="4"/>
      <c r="H149" s="4"/>
    </row>
    <row r="150" ht="15.75" customHeight="1">
      <c r="A150" s="4"/>
      <c r="B150" s="4"/>
      <c r="C150" s="4"/>
      <c r="D150" s="4"/>
      <c r="F150" s="4"/>
      <c r="G150" s="4"/>
      <c r="H150" s="4"/>
    </row>
    <row r="151" ht="15.75" customHeight="1">
      <c r="A151" s="4"/>
      <c r="B151" s="4"/>
      <c r="C151" s="4"/>
      <c r="D151" s="4"/>
      <c r="F151" s="4"/>
      <c r="G151" s="4"/>
      <c r="H151" s="4"/>
    </row>
    <row r="152" ht="15.75" customHeight="1">
      <c r="A152" s="4"/>
      <c r="B152" s="4"/>
      <c r="C152" s="4"/>
      <c r="D152" s="4"/>
      <c r="F152" s="4"/>
      <c r="G152" s="4"/>
      <c r="H152" s="4"/>
    </row>
    <row r="153" ht="15.75" customHeight="1">
      <c r="A153" s="4"/>
      <c r="B153" s="4"/>
      <c r="C153" s="4"/>
      <c r="D153" s="4"/>
      <c r="F153" s="4"/>
      <c r="G153" s="4"/>
      <c r="H153" s="4"/>
    </row>
    <row r="154" ht="15.75" customHeight="1">
      <c r="A154" s="4"/>
      <c r="B154" s="4"/>
      <c r="C154" s="4"/>
      <c r="D154" s="4"/>
      <c r="F154" s="4"/>
      <c r="G154" s="4"/>
      <c r="H154" s="4"/>
    </row>
    <row r="155" ht="15.75" customHeight="1">
      <c r="A155" s="4"/>
      <c r="B155" s="4"/>
      <c r="C155" s="4"/>
      <c r="D155" s="4"/>
      <c r="F155" s="4"/>
      <c r="G155" s="4"/>
      <c r="H155" s="4"/>
    </row>
    <row r="156" ht="15.75" customHeight="1">
      <c r="A156" s="4"/>
      <c r="B156" s="4"/>
      <c r="C156" s="4"/>
      <c r="D156" s="4"/>
      <c r="F156" s="4"/>
      <c r="G156" s="4"/>
      <c r="H156" s="4"/>
    </row>
    <row r="157" ht="15.75" customHeight="1">
      <c r="A157" s="4"/>
      <c r="B157" s="4"/>
      <c r="C157" s="4"/>
      <c r="D157" s="4"/>
      <c r="F157" s="4"/>
      <c r="G157" s="4"/>
      <c r="H157" s="4"/>
    </row>
    <row r="158" ht="15.75" customHeight="1">
      <c r="A158" s="4"/>
      <c r="B158" s="4"/>
      <c r="C158" s="4"/>
      <c r="D158" s="4"/>
      <c r="F158" s="4"/>
      <c r="G158" s="4"/>
      <c r="H158" s="4"/>
    </row>
    <row r="159" ht="15.75" customHeight="1">
      <c r="A159" s="4"/>
      <c r="B159" s="4"/>
      <c r="C159" s="4"/>
      <c r="D159" s="4"/>
      <c r="F159" s="4"/>
      <c r="G159" s="4"/>
      <c r="H159" s="4"/>
    </row>
    <row r="160" ht="15.75" customHeight="1">
      <c r="A160" s="4"/>
      <c r="B160" s="4"/>
      <c r="C160" s="4"/>
      <c r="D160" s="4"/>
      <c r="F160" s="4"/>
      <c r="G160" s="4"/>
      <c r="H160" s="4"/>
    </row>
    <row r="161" ht="15.75" customHeight="1">
      <c r="A161" s="4"/>
      <c r="B161" s="4"/>
      <c r="C161" s="4"/>
      <c r="D161" s="4"/>
      <c r="F161" s="4"/>
      <c r="G161" s="4"/>
      <c r="H161" s="4"/>
    </row>
    <row r="162" ht="15.75" customHeight="1">
      <c r="A162" s="4"/>
      <c r="B162" s="4"/>
      <c r="C162" s="4"/>
      <c r="D162" s="4"/>
      <c r="F162" s="4"/>
      <c r="G162" s="4"/>
      <c r="H162" s="4"/>
    </row>
    <row r="163" ht="15.75" customHeight="1">
      <c r="A163" s="4"/>
      <c r="B163" s="4"/>
      <c r="C163" s="4"/>
      <c r="D163" s="4"/>
      <c r="F163" s="4"/>
      <c r="G163" s="4"/>
      <c r="H163" s="4"/>
    </row>
    <row r="164" ht="15.75" customHeight="1">
      <c r="A164" s="4"/>
      <c r="B164" s="4"/>
      <c r="C164" s="4"/>
      <c r="D164" s="4"/>
      <c r="F164" s="4"/>
      <c r="G164" s="4"/>
      <c r="H164" s="4"/>
    </row>
    <row r="165" ht="15.75" customHeight="1">
      <c r="A165" s="4"/>
      <c r="B165" s="4"/>
      <c r="C165" s="4"/>
      <c r="D165" s="4"/>
      <c r="F165" s="4"/>
      <c r="G165" s="4"/>
      <c r="H165" s="4"/>
    </row>
    <row r="166" ht="15.75" customHeight="1">
      <c r="A166" s="4"/>
      <c r="B166" s="4"/>
      <c r="C166" s="4"/>
      <c r="D166" s="4"/>
      <c r="F166" s="4"/>
      <c r="G166" s="4"/>
      <c r="H166" s="4"/>
    </row>
    <row r="167" ht="15.75" customHeight="1">
      <c r="A167" s="4"/>
      <c r="B167" s="4"/>
      <c r="C167" s="4"/>
      <c r="D167" s="4"/>
      <c r="F167" s="4"/>
      <c r="G167" s="4"/>
      <c r="H167" s="4"/>
    </row>
    <row r="168" ht="15.75" customHeight="1">
      <c r="A168" s="4"/>
      <c r="B168" s="4"/>
      <c r="C168" s="4"/>
      <c r="D168" s="4"/>
      <c r="F168" s="4"/>
      <c r="G168" s="4"/>
      <c r="H168" s="4"/>
    </row>
    <row r="169" ht="15.75" customHeight="1">
      <c r="A169" s="4"/>
      <c r="B169" s="4"/>
      <c r="C169" s="4"/>
      <c r="D169" s="4"/>
      <c r="F169" s="4"/>
      <c r="G169" s="4"/>
      <c r="H169" s="4"/>
    </row>
    <row r="170" ht="15.75" customHeight="1">
      <c r="A170" s="4"/>
      <c r="B170" s="4"/>
      <c r="C170" s="4"/>
      <c r="D170" s="4"/>
      <c r="F170" s="4"/>
      <c r="G170" s="4"/>
      <c r="H170" s="4"/>
    </row>
    <row r="171" ht="15.75" customHeight="1">
      <c r="A171" s="4"/>
      <c r="B171" s="4"/>
      <c r="C171" s="4"/>
      <c r="D171" s="4"/>
      <c r="F171" s="4"/>
      <c r="G171" s="4"/>
      <c r="H171" s="4"/>
    </row>
    <row r="172" ht="15.75" customHeight="1">
      <c r="A172" s="4"/>
      <c r="B172" s="4"/>
      <c r="C172" s="4"/>
      <c r="D172" s="4"/>
      <c r="F172" s="4"/>
      <c r="G172" s="4"/>
      <c r="H172" s="4"/>
    </row>
    <row r="173" ht="15.75" customHeight="1">
      <c r="A173" s="4"/>
      <c r="B173" s="4"/>
      <c r="C173" s="4"/>
      <c r="D173" s="4"/>
      <c r="F173" s="4"/>
      <c r="G173" s="4"/>
      <c r="H173" s="4"/>
    </row>
    <row r="174" ht="15.75" customHeight="1">
      <c r="A174" s="4"/>
      <c r="B174" s="4"/>
      <c r="C174" s="4"/>
      <c r="D174" s="4"/>
      <c r="F174" s="4"/>
      <c r="G174" s="4"/>
      <c r="H174" s="4"/>
    </row>
    <row r="175" ht="15.75" customHeight="1">
      <c r="A175" s="4"/>
      <c r="B175" s="4"/>
      <c r="C175" s="4"/>
      <c r="D175" s="4"/>
      <c r="F175" s="4"/>
      <c r="G175" s="4"/>
      <c r="H175" s="4"/>
    </row>
    <row r="176" ht="15.75" customHeight="1">
      <c r="A176" s="4"/>
      <c r="B176" s="4"/>
      <c r="C176" s="4"/>
      <c r="D176" s="4"/>
      <c r="F176" s="4"/>
      <c r="G176" s="4"/>
      <c r="H176" s="4"/>
    </row>
    <row r="177" ht="15.75" customHeight="1">
      <c r="A177" s="4"/>
      <c r="B177" s="4"/>
      <c r="C177" s="4"/>
      <c r="D177" s="4"/>
      <c r="F177" s="4"/>
      <c r="G177" s="4"/>
      <c r="H177" s="4"/>
    </row>
    <row r="178" ht="15.75" customHeight="1">
      <c r="A178" s="4"/>
      <c r="B178" s="4"/>
      <c r="C178" s="4"/>
      <c r="D178" s="4"/>
      <c r="F178" s="4"/>
      <c r="G178" s="4"/>
      <c r="H178" s="4"/>
    </row>
    <row r="179" ht="15.75" customHeight="1">
      <c r="A179" s="4"/>
      <c r="B179" s="4"/>
      <c r="C179" s="4"/>
      <c r="D179" s="4"/>
      <c r="F179" s="4"/>
      <c r="G179" s="4"/>
      <c r="H179" s="4"/>
    </row>
    <row r="180" ht="15.75" customHeight="1">
      <c r="A180" s="4"/>
      <c r="B180" s="4"/>
      <c r="C180" s="4"/>
      <c r="D180" s="4"/>
      <c r="F180" s="4"/>
      <c r="G180" s="4"/>
      <c r="H180" s="4"/>
    </row>
    <row r="181" ht="15.75" customHeight="1">
      <c r="A181" s="4"/>
      <c r="B181" s="4"/>
      <c r="C181" s="4"/>
      <c r="D181" s="4"/>
      <c r="F181" s="4"/>
      <c r="G181" s="4"/>
      <c r="H181" s="4"/>
    </row>
    <row r="182" ht="15.75" customHeight="1">
      <c r="A182" s="4"/>
      <c r="B182" s="4"/>
      <c r="C182" s="4"/>
      <c r="D182" s="4"/>
      <c r="F182" s="4"/>
      <c r="G182" s="4"/>
      <c r="H182" s="4"/>
    </row>
    <row r="183" ht="15.75" customHeight="1">
      <c r="A183" s="4"/>
      <c r="B183" s="4"/>
      <c r="C183" s="4"/>
      <c r="D183" s="4"/>
      <c r="F183" s="4"/>
      <c r="G183" s="4"/>
      <c r="H183" s="4"/>
    </row>
    <row r="184" ht="15.75" customHeight="1">
      <c r="A184" s="4"/>
      <c r="B184" s="4"/>
      <c r="C184" s="4"/>
      <c r="D184" s="4"/>
      <c r="F184" s="4"/>
      <c r="G184" s="4"/>
      <c r="H184" s="4"/>
    </row>
    <row r="185" ht="15.75" customHeight="1">
      <c r="A185" s="4"/>
      <c r="B185" s="4"/>
      <c r="C185" s="4"/>
      <c r="D185" s="4"/>
      <c r="F185" s="4"/>
      <c r="G185" s="4"/>
      <c r="H185" s="4"/>
    </row>
    <row r="186" ht="15.75" customHeight="1">
      <c r="A186" s="4"/>
      <c r="B186" s="4"/>
      <c r="C186" s="4"/>
      <c r="D186" s="4"/>
      <c r="F186" s="4"/>
      <c r="G186" s="4"/>
      <c r="H186" s="4"/>
    </row>
    <row r="187" ht="15.75" customHeight="1">
      <c r="A187" s="4"/>
      <c r="B187" s="4"/>
      <c r="C187" s="4"/>
      <c r="D187" s="4"/>
      <c r="F187" s="4"/>
      <c r="G187" s="4"/>
      <c r="H187" s="4"/>
    </row>
    <row r="188" ht="15.75" customHeight="1">
      <c r="A188" s="4"/>
      <c r="B188" s="4"/>
      <c r="C188" s="4"/>
      <c r="D188" s="4"/>
      <c r="F188" s="4"/>
      <c r="G188" s="4"/>
      <c r="H188" s="4"/>
    </row>
    <row r="189" ht="15.75" customHeight="1">
      <c r="A189" s="4"/>
      <c r="B189" s="4"/>
      <c r="C189" s="4"/>
      <c r="D189" s="4"/>
      <c r="F189" s="4"/>
      <c r="G189" s="4"/>
      <c r="H189" s="4"/>
    </row>
    <row r="190" ht="15.75" customHeight="1">
      <c r="A190" s="4"/>
      <c r="B190" s="4"/>
      <c r="C190" s="4"/>
      <c r="D190" s="4"/>
      <c r="F190" s="4"/>
      <c r="G190" s="4"/>
      <c r="H190" s="4"/>
    </row>
    <row r="191" ht="15.75" customHeight="1">
      <c r="A191" s="4"/>
      <c r="B191" s="4"/>
      <c r="C191" s="4"/>
      <c r="D191" s="4"/>
      <c r="F191" s="4"/>
      <c r="G191" s="4"/>
      <c r="H191" s="4"/>
    </row>
    <row r="192" ht="15.75" customHeight="1">
      <c r="A192" s="4"/>
      <c r="B192" s="4"/>
      <c r="C192" s="4"/>
      <c r="D192" s="4"/>
      <c r="F192" s="4"/>
      <c r="G192" s="4"/>
      <c r="H192" s="4"/>
    </row>
    <row r="193" ht="15.75" customHeight="1">
      <c r="A193" s="4"/>
      <c r="B193" s="4"/>
      <c r="C193" s="4"/>
      <c r="D193" s="4"/>
      <c r="F193" s="4"/>
      <c r="G193" s="4"/>
      <c r="H193" s="4"/>
    </row>
    <row r="194" ht="15.75" customHeight="1">
      <c r="A194" s="4"/>
      <c r="B194" s="4"/>
      <c r="C194" s="4"/>
      <c r="D194" s="4"/>
      <c r="F194" s="4"/>
      <c r="G194" s="4"/>
      <c r="H194" s="4"/>
    </row>
    <row r="195" ht="15.75" customHeight="1">
      <c r="A195" s="4"/>
      <c r="B195" s="4"/>
      <c r="C195" s="4"/>
      <c r="D195" s="4"/>
      <c r="F195" s="4"/>
      <c r="G195" s="4"/>
      <c r="H195" s="4"/>
    </row>
    <row r="196" ht="15.75" customHeight="1">
      <c r="A196" s="4"/>
      <c r="B196" s="4"/>
      <c r="C196" s="4"/>
      <c r="D196" s="4"/>
      <c r="F196" s="4"/>
      <c r="G196" s="4"/>
      <c r="H196" s="4"/>
    </row>
    <row r="197" ht="15.75" customHeight="1">
      <c r="A197" s="4"/>
      <c r="B197" s="4"/>
      <c r="C197" s="4"/>
      <c r="D197" s="4"/>
      <c r="F197" s="4"/>
      <c r="G197" s="4"/>
      <c r="H197" s="4"/>
    </row>
    <row r="198" ht="15.75" customHeight="1">
      <c r="A198" s="4"/>
      <c r="B198" s="4"/>
      <c r="C198" s="4"/>
      <c r="D198" s="4"/>
      <c r="F198" s="4"/>
      <c r="G198" s="4"/>
      <c r="H198" s="4"/>
    </row>
    <row r="199" ht="15.75" customHeight="1">
      <c r="A199" s="4"/>
      <c r="B199" s="4"/>
      <c r="C199" s="4"/>
      <c r="D199" s="4"/>
      <c r="F199" s="4"/>
      <c r="G199" s="4"/>
      <c r="H199" s="4"/>
    </row>
    <row r="200" ht="15.75" customHeight="1">
      <c r="A200" s="4"/>
      <c r="B200" s="4"/>
      <c r="C200" s="4"/>
      <c r="D200" s="4"/>
      <c r="F200" s="4"/>
      <c r="G200" s="4"/>
      <c r="H200" s="4"/>
    </row>
    <row r="201" ht="15.75" customHeight="1">
      <c r="A201" s="4"/>
      <c r="B201" s="4"/>
      <c r="C201" s="4"/>
      <c r="D201" s="4"/>
      <c r="F201" s="4"/>
      <c r="G201" s="4"/>
      <c r="H201" s="4"/>
    </row>
    <row r="202" ht="15.75" customHeight="1">
      <c r="A202" s="4"/>
      <c r="B202" s="4"/>
      <c r="C202" s="4"/>
      <c r="D202" s="4"/>
      <c r="F202" s="4"/>
      <c r="G202" s="4"/>
      <c r="H202" s="4"/>
    </row>
    <row r="203" ht="15.75" customHeight="1">
      <c r="A203" s="4"/>
      <c r="B203" s="4"/>
      <c r="C203" s="4"/>
      <c r="D203" s="4"/>
      <c r="F203" s="4"/>
      <c r="G203" s="4"/>
      <c r="H203" s="4"/>
    </row>
    <row r="204" ht="15.75" customHeight="1">
      <c r="A204" s="4"/>
      <c r="B204" s="4"/>
      <c r="C204" s="4"/>
      <c r="D204" s="4"/>
      <c r="F204" s="4"/>
      <c r="G204" s="4"/>
      <c r="H204" s="4"/>
    </row>
    <row r="205" ht="15.75" customHeight="1">
      <c r="A205" s="4"/>
      <c r="B205" s="4"/>
      <c r="C205" s="4"/>
      <c r="D205" s="4"/>
      <c r="F205" s="4"/>
      <c r="G205" s="4"/>
      <c r="H205" s="4"/>
    </row>
    <row r="206" ht="15.75" customHeight="1">
      <c r="A206" s="4"/>
      <c r="B206" s="4"/>
      <c r="C206" s="4"/>
      <c r="D206" s="4"/>
      <c r="F206" s="4"/>
      <c r="G206" s="4"/>
      <c r="H206" s="4"/>
    </row>
    <row r="207" ht="15.75" customHeight="1">
      <c r="A207" s="4"/>
      <c r="B207" s="4"/>
      <c r="C207" s="4"/>
      <c r="D207" s="4"/>
      <c r="F207" s="4"/>
      <c r="G207" s="4"/>
      <c r="H207" s="4"/>
    </row>
    <row r="208" ht="15.75" customHeight="1">
      <c r="A208" s="4"/>
      <c r="B208" s="4"/>
      <c r="C208" s="4"/>
      <c r="D208" s="4"/>
      <c r="F208" s="4"/>
      <c r="G208" s="4"/>
      <c r="H208" s="4"/>
    </row>
    <row r="209" ht="15.75" customHeight="1">
      <c r="A209" s="4"/>
      <c r="B209" s="4"/>
      <c r="C209" s="4"/>
      <c r="D209" s="4"/>
      <c r="F209" s="4"/>
      <c r="G209" s="4"/>
      <c r="H209" s="4"/>
    </row>
    <row r="210" ht="15.75" customHeight="1">
      <c r="A210" s="4"/>
      <c r="B210" s="4"/>
      <c r="C210" s="4"/>
      <c r="D210" s="4"/>
      <c r="F210" s="4"/>
      <c r="G210" s="4"/>
      <c r="H210" s="4"/>
    </row>
    <row r="211" ht="15.75" customHeight="1">
      <c r="A211" s="4"/>
      <c r="B211" s="4"/>
      <c r="C211" s="4"/>
      <c r="D211" s="4"/>
      <c r="F211" s="4"/>
      <c r="G211" s="4"/>
      <c r="H211" s="4"/>
    </row>
    <row r="212" ht="15.75" customHeight="1">
      <c r="A212" s="4"/>
      <c r="B212" s="4"/>
      <c r="C212" s="4"/>
      <c r="D212" s="4"/>
      <c r="F212" s="4"/>
      <c r="G212" s="4"/>
      <c r="H212" s="4"/>
    </row>
    <row r="213" ht="15.75" customHeight="1">
      <c r="A213" s="4"/>
      <c r="B213" s="4"/>
      <c r="C213" s="4"/>
      <c r="D213" s="4"/>
      <c r="F213" s="4"/>
      <c r="G213" s="4"/>
      <c r="H213" s="4"/>
    </row>
    <row r="214" ht="15.75" customHeight="1">
      <c r="A214" s="4"/>
      <c r="B214" s="4"/>
      <c r="C214" s="4"/>
      <c r="D214" s="4"/>
      <c r="F214" s="4"/>
      <c r="G214" s="4"/>
      <c r="H214" s="4"/>
    </row>
    <row r="215" ht="15.75" customHeight="1">
      <c r="A215" s="4"/>
      <c r="B215" s="4"/>
      <c r="C215" s="4"/>
      <c r="D215" s="4"/>
      <c r="F215" s="4"/>
      <c r="G215" s="4"/>
      <c r="H215" s="4"/>
    </row>
    <row r="216" ht="15.75" customHeight="1">
      <c r="A216" s="4"/>
      <c r="B216" s="4"/>
      <c r="C216" s="4"/>
      <c r="D216" s="4"/>
      <c r="F216" s="4"/>
      <c r="G216" s="4"/>
      <c r="H216" s="4"/>
    </row>
    <row r="217" ht="15.75" customHeight="1">
      <c r="A217" s="4"/>
      <c r="B217" s="4"/>
      <c r="C217" s="4"/>
      <c r="D217" s="4"/>
      <c r="F217" s="4"/>
      <c r="G217" s="4"/>
      <c r="H217" s="4"/>
    </row>
    <row r="218" ht="15.75" customHeight="1">
      <c r="A218" s="4"/>
      <c r="B218" s="4"/>
      <c r="C218" s="4"/>
      <c r="D218" s="4"/>
      <c r="F218" s="4"/>
      <c r="G218" s="4"/>
      <c r="H218" s="4"/>
    </row>
    <row r="219" ht="15.75" customHeight="1">
      <c r="A219" s="4"/>
      <c r="B219" s="4"/>
      <c r="C219" s="4"/>
      <c r="D219" s="4"/>
      <c r="F219" s="4"/>
      <c r="G219" s="4"/>
      <c r="H219" s="4"/>
    </row>
    <row r="220" ht="15.75" customHeight="1">
      <c r="A220" s="4"/>
      <c r="B220" s="4"/>
      <c r="C220" s="4"/>
      <c r="D220" s="4"/>
      <c r="F220" s="4"/>
      <c r="G220" s="4"/>
      <c r="H220" s="4"/>
    </row>
    <row r="221" ht="15.75" customHeight="1">
      <c r="A221" s="4"/>
      <c r="B221" s="4"/>
      <c r="C221" s="4"/>
      <c r="D221" s="4"/>
      <c r="F221" s="4"/>
      <c r="G221" s="4"/>
      <c r="H221" s="4"/>
    </row>
    <row r="222" ht="15.75" customHeight="1">
      <c r="A222" s="4"/>
      <c r="B222" s="4"/>
      <c r="C222" s="4"/>
      <c r="D222" s="4"/>
      <c r="F222" s="4"/>
      <c r="G222" s="4"/>
      <c r="H222" s="4"/>
    </row>
    <row r="223" ht="15.75" customHeight="1">
      <c r="A223" s="4"/>
      <c r="B223" s="4"/>
      <c r="C223" s="4"/>
      <c r="D223" s="4"/>
      <c r="F223" s="4"/>
      <c r="G223" s="4"/>
      <c r="H223" s="4"/>
    </row>
    <row r="224" ht="15.75" customHeight="1">
      <c r="A224" s="4"/>
      <c r="B224" s="4"/>
      <c r="C224" s="4"/>
      <c r="D224" s="4"/>
      <c r="F224" s="4"/>
      <c r="G224" s="4"/>
      <c r="H224" s="4"/>
    </row>
    <row r="225" ht="15.75" customHeight="1">
      <c r="A225" s="4"/>
      <c r="B225" s="4"/>
      <c r="C225" s="4"/>
      <c r="D225" s="4"/>
      <c r="F225" s="4"/>
      <c r="G225" s="4"/>
      <c r="H225" s="4"/>
    </row>
    <row r="226" ht="15.75" customHeight="1">
      <c r="A226" s="4"/>
      <c r="B226" s="4"/>
      <c r="C226" s="4"/>
      <c r="D226" s="4"/>
      <c r="F226" s="4"/>
      <c r="G226" s="4"/>
      <c r="H226" s="4"/>
    </row>
    <row r="227" ht="15.75" customHeight="1">
      <c r="A227" s="4"/>
      <c r="B227" s="4"/>
      <c r="C227" s="4"/>
      <c r="D227" s="4"/>
      <c r="F227" s="4"/>
      <c r="G227" s="4"/>
      <c r="H227" s="4"/>
    </row>
    <row r="228" ht="15.75" customHeight="1">
      <c r="A228" s="4"/>
      <c r="B228" s="4"/>
      <c r="C228" s="4"/>
      <c r="D228" s="4"/>
      <c r="F228" s="4"/>
      <c r="G228" s="4"/>
      <c r="H228" s="4"/>
    </row>
    <row r="229" ht="15.75" customHeight="1">
      <c r="A229" s="4"/>
      <c r="B229" s="4"/>
      <c r="C229" s="4"/>
      <c r="D229" s="4"/>
      <c r="F229" s="4"/>
      <c r="G229" s="4"/>
      <c r="H229" s="4"/>
    </row>
    <row r="230" ht="15.75" customHeight="1">
      <c r="A230" s="4"/>
      <c r="B230" s="4"/>
      <c r="C230" s="4"/>
      <c r="D230" s="4"/>
      <c r="F230" s="4"/>
      <c r="G230" s="4"/>
      <c r="H230" s="4"/>
    </row>
    <row r="231" ht="15.75" customHeight="1">
      <c r="A231" s="4"/>
      <c r="B231" s="4"/>
      <c r="C231" s="4"/>
      <c r="D231" s="4"/>
      <c r="F231" s="4"/>
      <c r="G231" s="4"/>
      <c r="H231" s="4"/>
    </row>
    <row r="232" ht="15.75" customHeight="1">
      <c r="A232" s="4"/>
      <c r="B232" s="4"/>
      <c r="C232" s="4"/>
      <c r="D232" s="4"/>
      <c r="F232" s="4"/>
      <c r="G232" s="4"/>
      <c r="H232" s="4"/>
    </row>
    <row r="233" ht="15.75" customHeight="1">
      <c r="A233" s="4"/>
      <c r="B233" s="4"/>
      <c r="C233" s="4"/>
      <c r="D233" s="4"/>
      <c r="F233" s="4"/>
      <c r="G233" s="4"/>
      <c r="H233" s="4"/>
    </row>
    <row r="234" ht="15.75" customHeight="1">
      <c r="A234" s="4"/>
      <c r="B234" s="4"/>
      <c r="C234" s="4"/>
      <c r="D234" s="4"/>
      <c r="F234" s="4"/>
      <c r="G234" s="4"/>
      <c r="H234" s="4"/>
    </row>
    <row r="235" ht="15.75" customHeight="1">
      <c r="A235" s="4"/>
      <c r="B235" s="4"/>
      <c r="C235" s="4"/>
      <c r="D235" s="4"/>
      <c r="F235" s="4"/>
      <c r="G235" s="4"/>
      <c r="H235" s="4"/>
    </row>
    <row r="236" ht="15.75" customHeight="1">
      <c r="A236" s="4"/>
      <c r="B236" s="4"/>
      <c r="C236" s="4"/>
      <c r="D236" s="4"/>
      <c r="F236" s="4"/>
      <c r="G236" s="4"/>
      <c r="H236" s="4"/>
    </row>
    <row r="237" ht="15.75" customHeight="1">
      <c r="A237" s="4"/>
      <c r="B237" s="4"/>
      <c r="C237" s="4"/>
      <c r="D237" s="4"/>
      <c r="F237" s="4"/>
      <c r="G237" s="4"/>
      <c r="H237" s="4"/>
    </row>
    <row r="238" ht="15.75" customHeight="1">
      <c r="A238" s="4"/>
      <c r="B238" s="4"/>
      <c r="C238" s="4"/>
      <c r="D238" s="4"/>
      <c r="F238" s="4"/>
      <c r="G238" s="4"/>
      <c r="H238" s="4"/>
    </row>
    <row r="239" ht="15.75" customHeight="1">
      <c r="A239" s="4"/>
      <c r="B239" s="4"/>
      <c r="C239" s="4"/>
      <c r="D239" s="4"/>
      <c r="F239" s="4"/>
      <c r="G239" s="4"/>
      <c r="H239" s="4"/>
    </row>
    <row r="240" ht="15.75" customHeight="1">
      <c r="A240" s="4"/>
      <c r="B240" s="4"/>
      <c r="C240" s="4"/>
      <c r="D240" s="4"/>
      <c r="F240" s="4"/>
      <c r="G240" s="4"/>
      <c r="H240" s="4"/>
    </row>
    <row r="241" ht="15.75" customHeight="1">
      <c r="A241" s="4"/>
      <c r="B241" s="4"/>
      <c r="C241" s="4"/>
      <c r="D241" s="4"/>
      <c r="F241" s="4"/>
      <c r="G241" s="4"/>
      <c r="H241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0"/>
      <c r="B1" s="10">
        <v>3710.0</v>
      </c>
      <c r="C1" s="10">
        <v>3718.0</v>
      </c>
      <c r="D1" s="10">
        <v>3725.0</v>
      </c>
      <c r="E1" s="10">
        <v>3743.0</v>
      </c>
      <c r="F1" s="10">
        <v>3744.0</v>
      </c>
      <c r="H1" s="1">
        <v>9121.0</v>
      </c>
    </row>
    <row r="2" ht="15.75" customHeight="1">
      <c r="A2" s="4"/>
      <c r="B2" s="4" t="s">
        <v>6</v>
      </c>
      <c r="C2" s="4" t="s">
        <v>6</v>
      </c>
      <c r="D2" s="4" t="s">
        <v>6</v>
      </c>
      <c r="E2" s="4" t="s">
        <v>6</v>
      </c>
      <c r="F2" s="4" t="s">
        <v>6</v>
      </c>
      <c r="H2" s="1" t="s">
        <v>6</v>
      </c>
    </row>
    <row r="3" ht="15.75" customHeight="1">
      <c r="A3" s="10"/>
      <c r="B3" s="10">
        <v>13.0</v>
      </c>
      <c r="C3" s="10">
        <v>9.5</v>
      </c>
      <c r="D3" s="10">
        <v>8.5</v>
      </c>
      <c r="E3" s="10">
        <v>7.5</v>
      </c>
      <c r="F3" s="10">
        <v>7.5</v>
      </c>
      <c r="H3" s="1">
        <v>7.5</v>
      </c>
    </row>
    <row r="4" ht="15.75" customHeight="1">
      <c r="A4" s="10"/>
      <c r="B4" s="10">
        <v>29.9</v>
      </c>
      <c r="C4" s="10">
        <v>23.2</v>
      </c>
      <c r="D4" s="10">
        <v>23.3</v>
      </c>
      <c r="E4" s="10">
        <v>22.9</v>
      </c>
      <c r="F4" s="10">
        <v>22.5</v>
      </c>
      <c r="H4" s="1">
        <v>2.7</v>
      </c>
    </row>
    <row r="5" ht="15.75" customHeight="1">
      <c r="A5" s="10"/>
      <c r="B5" s="10" t="str">
        <f t="shared" ref="B5:F5" si="1">ABS(17.1 - B4)</f>
        <v>12.8</v>
      </c>
      <c r="C5" s="10" t="str">
        <f t="shared" si="1"/>
        <v>6.1</v>
      </c>
      <c r="D5" s="10" t="str">
        <f t="shared" si="1"/>
        <v>6.2</v>
      </c>
      <c r="E5" s="10" t="str">
        <f t="shared" si="1"/>
        <v>5.8</v>
      </c>
      <c r="F5" s="10" t="str">
        <f t="shared" si="1"/>
        <v>5.4</v>
      </c>
      <c r="H5" s="1" t="str">
        <f>ABS(0.8 - H4)</f>
        <v>1.9</v>
      </c>
    </row>
    <row r="6" ht="15.75" customHeight="1">
      <c r="A6" s="10"/>
      <c r="B6" s="10" t="str">
        <f t="shared" ref="B6:F6" si="2">B4 - 17.1</f>
        <v>12.8</v>
      </c>
      <c r="C6" s="10" t="str">
        <f t="shared" si="2"/>
        <v>6.1</v>
      </c>
      <c r="D6" s="10" t="str">
        <f t="shared" si="2"/>
        <v>6.2</v>
      </c>
      <c r="E6" s="10" t="str">
        <f t="shared" si="2"/>
        <v>5.8</v>
      </c>
      <c r="F6" s="10" t="str">
        <f t="shared" si="2"/>
        <v>5.4</v>
      </c>
      <c r="H6" s="1" t="str">
        <f>0.8 - H4</f>
        <v>-1.9</v>
      </c>
    </row>
    <row r="7" ht="15.75" customHeight="1">
      <c r="A7" s="10"/>
      <c r="B7" s="10">
        <v>1.0</v>
      </c>
      <c r="C7" s="10">
        <v>1.0</v>
      </c>
      <c r="D7" s="10">
        <v>1.0</v>
      </c>
      <c r="E7" s="10">
        <v>1.0</v>
      </c>
      <c r="F7" s="10">
        <v>1.0</v>
      </c>
      <c r="H7" s="1">
        <v>1.0</v>
      </c>
    </row>
    <row r="8" ht="15.75" customHeight="1">
      <c r="A8" s="10"/>
      <c r="B8" s="10">
        <v>1.0</v>
      </c>
      <c r="C8" s="10">
        <v>1.0</v>
      </c>
      <c r="D8" s="10">
        <v>1.0</v>
      </c>
      <c r="E8" s="10">
        <v>1.0</v>
      </c>
      <c r="F8" s="10">
        <v>1.0</v>
      </c>
      <c r="H8" s="1">
        <v>1.0</v>
      </c>
    </row>
    <row r="9" ht="15.75" customHeight="1">
      <c r="A9" s="10"/>
      <c r="B9" s="10">
        <v>1.0</v>
      </c>
      <c r="C9" s="10">
        <v>1.0</v>
      </c>
      <c r="D9" s="10">
        <v>1.0</v>
      </c>
      <c r="E9" s="10">
        <v>1.0</v>
      </c>
      <c r="F9" s="10">
        <v>1.0</v>
      </c>
      <c r="H9" s="1">
        <v>1.0</v>
      </c>
    </row>
    <row r="10" ht="15.75" customHeight="1">
      <c r="A10" s="10"/>
      <c r="B10" s="10">
        <v>1.0</v>
      </c>
      <c r="C10" s="10">
        <v>1.0</v>
      </c>
      <c r="D10" s="10">
        <v>1.0</v>
      </c>
      <c r="E10" s="10">
        <v>1.0</v>
      </c>
      <c r="F10" s="10">
        <v>1.0</v>
      </c>
      <c r="H10" s="1">
        <v>1.0</v>
      </c>
    </row>
    <row r="11" ht="15.75" customHeight="1">
      <c r="A11" s="10"/>
      <c r="B11" s="10">
        <v>1.0</v>
      </c>
      <c r="C11" s="10">
        <v>1.0</v>
      </c>
      <c r="D11" s="10">
        <v>1.0</v>
      </c>
      <c r="E11" s="10">
        <v>1.0</v>
      </c>
      <c r="F11" s="10">
        <v>1.0</v>
      </c>
      <c r="H11" s="1">
        <v>1.0</v>
      </c>
    </row>
    <row r="12" ht="15.75" customHeight="1">
      <c r="A12" s="10"/>
      <c r="B12" s="10">
        <v>1.0</v>
      </c>
      <c r="C12" s="10">
        <v>1.0</v>
      </c>
      <c r="D12" s="10">
        <v>1.0</v>
      </c>
      <c r="E12" s="10">
        <v>1.0</v>
      </c>
      <c r="F12" s="10">
        <v>1.0</v>
      </c>
      <c r="H12" s="1">
        <v>1.0</v>
      </c>
    </row>
    <row r="13" ht="15.75" customHeight="1">
      <c r="A13" s="10"/>
      <c r="B13" s="10">
        <v>1.0</v>
      </c>
      <c r="C13" s="10">
        <v>1.0</v>
      </c>
      <c r="D13" s="10">
        <v>1.0</v>
      </c>
      <c r="E13" s="10">
        <v>1.0</v>
      </c>
      <c r="F13" s="10">
        <v>1.0</v>
      </c>
      <c r="H13" s="1">
        <v>1.0</v>
      </c>
    </row>
    <row r="14" ht="15.75" customHeight="1">
      <c r="A14" s="10"/>
      <c r="B14" s="10">
        <v>1.0</v>
      </c>
      <c r="C14" s="10">
        <v>1.0</v>
      </c>
      <c r="D14" s="10">
        <v>1.0</v>
      </c>
      <c r="E14" s="10">
        <v>1.0</v>
      </c>
      <c r="F14" s="10">
        <v>1.0</v>
      </c>
      <c r="H14" s="1">
        <v>1.0</v>
      </c>
    </row>
    <row r="15" ht="15.75" customHeight="1">
      <c r="A15" s="10"/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  <c r="H15" s="1">
        <v>0.0</v>
      </c>
    </row>
    <row r="16" ht="15.75" customHeight="1">
      <c r="A16" s="10"/>
      <c r="B16" s="10">
        <v>0.0</v>
      </c>
      <c r="C16" s="10">
        <v>0.0</v>
      </c>
      <c r="D16" s="10">
        <v>0.0</v>
      </c>
      <c r="E16" s="10">
        <v>0.0</v>
      </c>
      <c r="F16" s="10">
        <v>0.0</v>
      </c>
      <c r="H16" s="1">
        <v>0.5</v>
      </c>
    </row>
    <row r="17" ht="15.75" customHeight="1">
      <c r="A17" s="4"/>
      <c r="B17" s="4" t="s">
        <v>30</v>
      </c>
      <c r="C17" s="4" t="s">
        <v>33</v>
      </c>
      <c r="D17" s="11" t="s">
        <v>33</v>
      </c>
      <c r="E17" s="4" t="s">
        <v>33</v>
      </c>
      <c r="F17" s="4" t="s">
        <v>33</v>
      </c>
      <c r="H17" s="8" t="s">
        <v>28</v>
      </c>
      <c r="I17" s="12">
        <v>1.0</v>
      </c>
    </row>
    <row r="18" ht="15.75" customHeight="1">
      <c r="A18" s="10"/>
      <c r="B18" s="10">
        <v>0.0</v>
      </c>
      <c r="C18" s="10">
        <v>0.0</v>
      </c>
      <c r="D18" s="10">
        <v>0.0</v>
      </c>
      <c r="E18" s="10">
        <v>0.0</v>
      </c>
      <c r="F18" s="10">
        <v>0.0</v>
      </c>
      <c r="H18" s="1">
        <v>0.0</v>
      </c>
    </row>
    <row r="19" ht="15.75" customHeight="1">
      <c r="A19" s="10"/>
      <c r="B19" s="10">
        <v>1007.0</v>
      </c>
      <c r="C19" s="10">
        <v>1004.0</v>
      </c>
      <c r="D19" s="10">
        <v>1027.0</v>
      </c>
      <c r="E19" s="10">
        <v>1507.0</v>
      </c>
      <c r="F19" s="10">
        <v>1058.0</v>
      </c>
      <c r="H19" s="1">
        <v>1008.0</v>
      </c>
    </row>
    <row r="20" ht="15.75" customHeight="1">
      <c r="A20" s="4"/>
      <c r="B20" s="4" t="s">
        <v>38</v>
      </c>
      <c r="C20" s="4" t="s">
        <v>38</v>
      </c>
      <c r="D20" s="4" t="s">
        <v>38</v>
      </c>
      <c r="E20" s="4" t="s">
        <v>37</v>
      </c>
      <c r="F20" s="4" t="s">
        <v>38</v>
      </c>
      <c r="H20" s="1" t="s">
        <v>80</v>
      </c>
    </row>
    <row r="21" ht="15.75" customHeight="1">
      <c r="A21" s="4"/>
      <c r="B21" s="13">
        <v>0.031</v>
      </c>
      <c r="C21" s="13">
        <v>0.031</v>
      </c>
      <c r="D21" s="13">
        <v>0.031</v>
      </c>
      <c r="E21" s="13">
        <v>0.025</v>
      </c>
      <c r="F21" s="13">
        <v>0.031</v>
      </c>
      <c r="G21" s="13"/>
      <c r="H21" s="13">
        <v>0.031</v>
      </c>
    </row>
    <row r="22" ht="15.75" customHeight="1">
      <c r="A22" s="4" t="s">
        <v>86</v>
      </c>
      <c r="B22" s="1" t="str">
        <f t="shared" ref="B22:F22" si="3">0.2*SQRT(B3) + 134.6 / SQRT(B19)</f>
        <v>4.962716254</v>
      </c>
      <c r="C22" s="1" t="str">
        <f t="shared" si="3"/>
        <v>4.864379733</v>
      </c>
      <c r="D22" s="1" t="str">
        <f t="shared" si="3"/>
        <v>4.783197196</v>
      </c>
      <c r="E22" s="1" t="str">
        <f t="shared" si="3"/>
        <v>4.014998719</v>
      </c>
      <c r="F22" s="1" t="str">
        <f t="shared" si="3"/>
        <v>4.685834416</v>
      </c>
      <c r="H22" s="1" t="str">
        <f>0.2*SQRT(H3) + 134.6 / SQRT(H19)</f>
        <v>4.787224063</v>
      </c>
    </row>
    <row r="23" ht="15.75" customHeight="1">
      <c r="A23" s="4" t="s">
        <v>87</v>
      </c>
      <c r="B23" s="4" t="str">
        <f t="shared" ref="B23:F23" si="4">B5-B22</f>
        <v>7.837283746</v>
      </c>
      <c r="C23" s="4" t="str">
        <f t="shared" si="4"/>
        <v>1.235620267</v>
      </c>
      <c r="D23" s="4" t="str">
        <f t="shared" si="4"/>
        <v>1.416802804</v>
      </c>
      <c r="E23" s="4" t="str">
        <f t="shared" si="4"/>
        <v>1.785001281</v>
      </c>
      <c r="F23" s="4" t="str">
        <f t="shared" si="4"/>
        <v>0.7141655839</v>
      </c>
      <c r="G23" s="4"/>
      <c r="H23" s="4" t="str">
        <f>H5-H22</f>
        <v>-2.887224063</v>
      </c>
      <c r="I23" s="4" t="str">
        <f t="shared" ref="I23:K23" si="5">I6</f>
        <v/>
      </c>
      <c r="J23" s="4" t="str">
        <f t="shared" si="5"/>
        <v/>
      </c>
      <c r="K23" s="4" t="str">
        <f t="shared" si="5"/>
        <v/>
      </c>
    </row>
    <row r="24" ht="15.75" customHeight="1">
      <c r="A24" s="4" t="s">
        <v>88</v>
      </c>
      <c r="B24" s="4" t="str">
        <f t="shared" ref="B24:F24" si="6">B6</f>
        <v>12.8</v>
      </c>
      <c r="C24" s="4" t="str">
        <f t="shared" si="6"/>
        <v>6.1</v>
      </c>
      <c r="D24" s="4" t="str">
        <f t="shared" si="6"/>
        <v>6.2</v>
      </c>
      <c r="E24" s="4" t="str">
        <f t="shared" si="6"/>
        <v>5.8</v>
      </c>
      <c r="F24" s="4" t="str">
        <f t="shared" si="6"/>
        <v>5.4</v>
      </c>
      <c r="G24" s="4"/>
      <c r="H24" s="4" t="str">
        <f>H6</f>
        <v>-1.9</v>
      </c>
    </row>
    <row r="25" ht="15.75" customHeight="1">
      <c r="A25" s="1" t="s">
        <v>89</v>
      </c>
      <c r="B25" s="1" t="str">
        <f t="shared" ref="B25:F25" si="7">0.84^7</f>
        <v>0.2950903466</v>
      </c>
      <c r="C25" s="1" t="str">
        <f t="shared" si="7"/>
        <v>0.2950903466</v>
      </c>
      <c r="D25" s="1" t="str">
        <f t="shared" si="7"/>
        <v>0.2950903466</v>
      </c>
      <c r="E25" s="1" t="str">
        <f t="shared" si="7"/>
        <v>0.2950903466</v>
      </c>
      <c r="F25" s="1" t="str">
        <f t="shared" si="7"/>
        <v>0.2950903466</v>
      </c>
      <c r="H25" s="1" t="str">
        <f>0.84^2</f>
        <v>0.7056</v>
      </c>
    </row>
    <row r="26" ht="15.75" customHeight="1">
      <c r="A26" s="1" t="s">
        <v>93</v>
      </c>
      <c r="B26" s="1" t="str">
        <f t="shared" ref="B26:F26" si="8">B23*B25</f>
        <v>2.312706777</v>
      </c>
      <c r="C26" s="1" t="str">
        <f t="shared" si="8"/>
        <v>0.3646196128</v>
      </c>
      <c r="D26" s="1" t="str">
        <f t="shared" si="8"/>
        <v>0.4180848305</v>
      </c>
      <c r="E26" s="1" t="str">
        <f t="shared" si="8"/>
        <v>0.5267366466</v>
      </c>
      <c r="F26" s="1" t="str">
        <f t="shared" si="8"/>
        <v>0.2107433697</v>
      </c>
      <c r="H26" s="1" t="str">
        <f>H23*H25</f>
        <v>-2.037225299</v>
      </c>
    </row>
    <row r="27" ht="15.75" customHeight="1">
      <c r="A27" s="1" t="s">
        <v>94</v>
      </c>
      <c r="B27" s="1" t="str">
        <f>SUM(B26:K26)/SUM(B25:K25)</f>
        <v>0.8233027719</v>
      </c>
    </row>
    <row r="28" ht="15.75" customHeight="1">
      <c r="A28" s="1" t="s">
        <v>95</v>
      </c>
      <c r="B28" s="1" t="str">
        <f t="shared" ref="B28:F28" si="9">B23-3.49</f>
        <v>4.347283746</v>
      </c>
      <c r="C28" s="1" t="str">
        <f t="shared" si="9"/>
        <v>-2.254379733</v>
      </c>
      <c r="D28" s="1" t="str">
        <f t="shared" si="9"/>
        <v>-2.073197196</v>
      </c>
      <c r="E28" s="1" t="str">
        <f t="shared" si="9"/>
        <v>-1.704998719</v>
      </c>
      <c r="F28" s="1" t="str">
        <f t="shared" si="9"/>
        <v>-2.775834416</v>
      </c>
      <c r="H28" s="1" t="str">
        <f>H23+1.304</f>
        <v>-1.583224063</v>
      </c>
    </row>
    <row r="29" ht="15.75" customHeight="1">
      <c r="A29" s="4" t="s">
        <v>96</v>
      </c>
      <c r="B29" s="4" t="str">
        <f t="shared" ref="B29:F29" si="10">0.8*B28+0.2*B23</f>
        <v>5.045283746</v>
      </c>
      <c r="C29" s="4" t="str">
        <f t="shared" si="10"/>
        <v>-1.556379733</v>
      </c>
      <c r="D29" s="4" t="str">
        <f t="shared" si="10"/>
        <v>-1.375197196</v>
      </c>
      <c r="E29" s="4" t="str">
        <f t="shared" si="10"/>
        <v>-1.006998719</v>
      </c>
      <c r="F29" s="4" t="str">
        <f t="shared" si="10"/>
        <v>-2.077834416</v>
      </c>
      <c r="H29" s="4" t="str">
        <f>0.8*H28+0.2*H23</f>
        <v>-1.844024063</v>
      </c>
    </row>
    <row r="30" ht="15.75" customHeight="1">
      <c r="A30" s="4" t="s">
        <v>97</v>
      </c>
      <c r="B30" s="4" t="str">
        <f t="shared" ref="B30:F30" si="11">B25*B29</f>
        <v>1.488814529</v>
      </c>
      <c r="C30" s="4" t="str">
        <f t="shared" si="11"/>
        <v>-0.4592726348</v>
      </c>
      <c r="D30" s="4" t="str">
        <f t="shared" si="11"/>
        <v>-0.4058074171</v>
      </c>
      <c r="E30" s="4" t="str">
        <f t="shared" si="11"/>
        <v>-0.297155601</v>
      </c>
      <c r="F30" s="4" t="str">
        <f t="shared" si="11"/>
        <v>-0.6131488779</v>
      </c>
      <c r="H30" s="4" t="str">
        <f>H25*H29</f>
        <v>-1.301143379</v>
      </c>
    </row>
    <row r="31" ht="15.75" customHeight="1">
      <c r="A31" s="4" t="s">
        <v>98</v>
      </c>
      <c r="B31" s="1" t="str">
        <f t="shared" ref="B31:F31" si="12">B24-7.8</f>
        <v>5</v>
      </c>
      <c r="C31" s="1" t="str">
        <f t="shared" si="12"/>
        <v>-1.7</v>
      </c>
      <c r="D31" s="1" t="str">
        <f t="shared" si="12"/>
        <v>-1.6</v>
      </c>
      <c r="E31" s="1" t="str">
        <f t="shared" si="12"/>
        <v>-2</v>
      </c>
      <c r="F31" s="1" t="str">
        <f t="shared" si="12"/>
        <v>-2.4</v>
      </c>
      <c r="H31" s="1" t="str">
        <f>H24-2.05</f>
        <v>-3.95</v>
      </c>
    </row>
    <row r="32" ht="15.75" customHeight="1">
      <c r="A32" s="4" t="s">
        <v>99</v>
      </c>
      <c r="B32" s="4" t="str">
        <f t="shared" ref="B32:F32" si="13">0.8*B31+0.2*B24</f>
        <v>6.56</v>
      </c>
      <c r="C32" s="4" t="str">
        <f t="shared" si="13"/>
        <v>-0.14</v>
      </c>
      <c r="D32" s="4" t="str">
        <f t="shared" si="13"/>
        <v>-0.04</v>
      </c>
      <c r="E32" s="4" t="str">
        <f t="shared" si="13"/>
        <v>-0.44</v>
      </c>
      <c r="F32" s="4" t="str">
        <f t="shared" si="13"/>
        <v>-0.84</v>
      </c>
      <c r="G32" s="4"/>
      <c r="H32" s="4" t="str">
        <f>0.8*H31+0.2*H24</f>
        <v>-3.54</v>
      </c>
    </row>
    <row r="33" ht="15.75" customHeight="1">
      <c r="A33" s="4" t="s">
        <v>100</v>
      </c>
      <c r="B33" s="4" t="str">
        <f t="shared" ref="B33:F33" si="14">B25*B32</f>
        <v>1.935792673</v>
      </c>
      <c r="C33" s="4" t="str">
        <f t="shared" si="14"/>
        <v>-0.04131264852</v>
      </c>
      <c r="D33" s="4" t="str">
        <f t="shared" si="14"/>
        <v>-0.01180361386</v>
      </c>
      <c r="E33" s="4" t="str">
        <f t="shared" si="14"/>
        <v>-0.1298397525</v>
      </c>
      <c r="F33" s="4" t="str">
        <f t="shared" si="14"/>
        <v>-0.2478758911</v>
      </c>
      <c r="G33" s="4"/>
      <c r="H33" s="4" t="str">
        <f>H25*H32</f>
        <v>-2.497824</v>
      </c>
    </row>
    <row r="34" ht="15.75" customHeight="1">
      <c r="A34" s="4" t="s">
        <v>101</v>
      </c>
      <c r="B34" s="4" t="str">
        <f>SUM(B30:K30)/SUM(B25:K25)</f>
        <v>-0.7279576898</v>
      </c>
      <c r="C34" s="4"/>
      <c r="E34" s="4"/>
      <c r="F34" s="4"/>
    </row>
    <row r="35" ht="15.75" customHeight="1">
      <c r="A35" s="4" t="s">
        <v>102</v>
      </c>
      <c r="B35" s="4" t="str">
        <f>ABS(SUM(B33:K33)/SUM(B25:K25))</f>
        <v>0.4552222295</v>
      </c>
      <c r="C35" s="4"/>
      <c r="E35" s="4"/>
      <c r="F35" s="4"/>
    </row>
    <row r="36" ht="15.75" customHeight="1">
      <c r="A36" s="4" t="s">
        <v>103</v>
      </c>
      <c r="B36" s="4" t="str">
        <f>AVERAGE(B34:B35)</f>
        <v>-0.1363677301</v>
      </c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1" t="s">
        <v>104</v>
      </c>
      <c r="B39" s="1" t="str">
        <f t="shared" ref="B39:F39" si="15">SUM(B7:B16)*B25 </f>
        <v>2.360722772</v>
      </c>
      <c r="C39" s="1" t="str">
        <f t="shared" si="15"/>
        <v>2.360722772</v>
      </c>
      <c r="D39" s="1" t="str">
        <f t="shared" si="15"/>
        <v>2.360722772</v>
      </c>
      <c r="E39" s="1" t="str">
        <f t="shared" si="15"/>
        <v>2.360722772</v>
      </c>
      <c r="F39" s="1" t="str">
        <f t="shared" si="15"/>
        <v>2.360722772</v>
      </c>
      <c r="H39" s="1" t="str">
        <f>SUM(H7:H16)*H25 </f>
        <v>5.9976</v>
      </c>
    </row>
    <row r="40" ht="15.75" customHeight="1">
      <c r="A40" s="1" t="s">
        <v>105</v>
      </c>
      <c r="B40" s="1" t="str">
        <f>SUM(B39:K39)/SUM(B25:K25)</f>
        <v>8.161756823</v>
      </c>
      <c r="E40" s="4"/>
      <c r="F40" s="4"/>
    </row>
    <row r="41" ht="15.75" customHeight="1">
      <c r="B41" s="1" t="str">
        <f>B40*0.7+I17*2+B18</f>
        <v>7.713229776</v>
      </c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"/>
      <c r="B1" s="1">
        <v>3730.0</v>
      </c>
      <c r="D1" s="1">
        <v>9101.0</v>
      </c>
    </row>
    <row r="2" ht="15.75" customHeight="1">
      <c r="A2" s="1"/>
      <c r="B2" s="1" t="s">
        <v>9</v>
      </c>
      <c r="D2" s="1" t="s">
        <v>9</v>
      </c>
    </row>
    <row r="3" ht="15.75" customHeight="1">
      <c r="A3" s="1"/>
      <c r="B3" s="1">
        <v>8.0</v>
      </c>
      <c r="D3" s="1">
        <v>7.5</v>
      </c>
    </row>
    <row r="4" ht="15.75" customHeight="1">
      <c r="A4" s="1"/>
      <c r="B4" s="1">
        <v>29.0</v>
      </c>
      <c r="D4" s="1">
        <v>5.6</v>
      </c>
    </row>
    <row r="5" ht="15.75" customHeight="1">
      <c r="B5" s="1" t="str">
        <f>ABS(17.1 - B4)</f>
        <v>11.9</v>
      </c>
      <c r="D5" s="1" t="str">
        <f>ABS(0.8 - D4)</f>
        <v>4.8</v>
      </c>
    </row>
    <row r="6" ht="15.75" customHeight="1">
      <c r="B6" s="1" t="str">
        <f>B4 - 17.1</f>
        <v>11.9</v>
      </c>
      <c r="D6" s="1" t="str">
        <f>0.8 - D4</f>
        <v>-4.8</v>
      </c>
    </row>
    <row r="7" ht="15.75" customHeight="1">
      <c r="A7" s="1"/>
      <c r="B7" s="1">
        <v>1.0</v>
      </c>
      <c r="D7" s="1">
        <v>1.0</v>
      </c>
    </row>
    <row r="8" ht="15.75" customHeight="1">
      <c r="A8" s="1"/>
      <c r="B8" s="1">
        <v>1.0</v>
      </c>
      <c r="D8" s="1">
        <v>1.0</v>
      </c>
    </row>
    <row r="9" ht="15.75" customHeight="1">
      <c r="A9" s="1"/>
      <c r="B9" s="1">
        <v>1.0</v>
      </c>
      <c r="D9" s="1">
        <v>1.0</v>
      </c>
    </row>
    <row r="10" ht="15.75" customHeight="1">
      <c r="A10" s="1"/>
      <c r="B10" s="1">
        <v>1.0</v>
      </c>
      <c r="D10" s="1">
        <v>1.0</v>
      </c>
    </row>
    <row r="11" ht="15.75" customHeight="1">
      <c r="A11" s="1"/>
      <c r="B11" s="1">
        <v>1.0</v>
      </c>
      <c r="D11" s="1">
        <v>1.0</v>
      </c>
    </row>
    <row r="12" ht="15.75" customHeight="1">
      <c r="A12" s="1"/>
      <c r="B12" s="1">
        <v>1.0</v>
      </c>
      <c r="D12" s="1">
        <v>1.0</v>
      </c>
    </row>
    <row r="13" ht="15.75" customHeight="1">
      <c r="A13" s="1"/>
      <c r="B13" s="1">
        <v>1.0</v>
      </c>
      <c r="D13" s="1">
        <v>1.0</v>
      </c>
    </row>
    <row r="14" ht="15.75" customHeight="1">
      <c r="A14" s="1"/>
      <c r="B14" s="1">
        <v>1.0</v>
      </c>
      <c r="D14" s="1">
        <v>1.0</v>
      </c>
    </row>
    <row r="15" ht="15.75" customHeight="1">
      <c r="A15" s="1"/>
      <c r="B15" s="1">
        <v>0.0</v>
      </c>
      <c r="D15" s="1">
        <v>0.0</v>
      </c>
    </row>
    <row r="16" ht="15.75" customHeight="1">
      <c r="A16" s="1"/>
      <c r="B16" s="1">
        <v>0.0</v>
      </c>
      <c r="D16" s="1">
        <v>0.0</v>
      </c>
    </row>
    <row r="17" ht="15.75" customHeight="1">
      <c r="A17" s="1"/>
      <c r="B17" s="1" t="s">
        <v>29</v>
      </c>
      <c r="D17" s="1" t="s">
        <v>74</v>
      </c>
      <c r="E17" s="12">
        <v>0.0</v>
      </c>
    </row>
    <row r="18" ht="15.75" customHeight="1">
      <c r="A18" s="1"/>
      <c r="B18" s="1">
        <v>0.0</v>
      </c>
      <c r="D18" s="1">
        <v>0.0</v>
      </c>
    </row>
    <row r="19" ht="15.75" customHeight="1">
      <c r="A19" s="1"/>
      <c r="B19" s="1">
        <v>1002.0</v>
      </c>
      <c r="D19" s="1">
        <v>1011.0</v>
      </c>
    </row>
    <row r="20" ht="15.75" customHeight="1">
      <c r="A20" s="1"/>
      <c r="B20" s="1" t="s">
        <v>38</v>
      </c>
      <c r="D20" s="1" t="s">
        <v>80</v>
      </c>
    </row>
    <row r="21" ht="15.75" customHeight="1">
      <c r="A21" s="4"/>
      <c r="B21" s="5">
        <v>0.031</v>
      </c>
      <c r="C21" s="5"/>
      <c r="D21" s="5">
        <v>0.031</v>
      </c>
    </row>
    <row r="22" ht="15.75" customHeight="1">
      <c r="A22" s="4" t="s">
        <v>86</v>
      </c>
      <c r="B22" s="1" t="str">
        <f>0.2*SQRT(B3) + 134.6 / SQRT(B19)</f>
        <v>4.817861104</v>
      </c>
      <c r="D22" s="1" t="str">
        <f>0.2*SQRT(D3) + 134.6 / SQRT(D19)</f>
        <v>4.780929328</v>
      </c>
    </row>
    <row r="23" ht="15.75" customHeight="1">
      <c r="A23" s="4" t="s">
        <v>87</v>
      </c>
      <c r="B23" s="4" t="str">
        <f>B5-B22</f>
        <v>7.082138896</v>
      </c>
      <c r="C23" s="4"/>
      <c r="D23" s="4" t="str">
        <f>D5-D22</f>
        <v>0.01907067164</v>
      </c>
      <c r="E23" s="4"/>
      <c r="F23" s="4"/>
      <c r="G23" s="4"/>
      <c r="H23" s="4"/>
      <c r="I23" s="4"/>
      <c r="J23" s="4"/>
      <c r="K23" s="4"/>
    </row>
    <row r="24" ht="15.75" customHeight="1">
      <c r="A24" s="4" t="s">
        <v>88</v>
      </c>
      <c r="B24" s="4" t="str">
        <f t="shared" ref="B24:F24" si="1">B6</f>
        <v>11.9</v>
      </c>
      <c r="C24" s="4" t="str">
        <f t="shared" si="1"/>
        <v/>
      </c>
      <c r="D24" s="4" t="str">
        <f t="shared" si="1"/>
        <v>-4.8</v>
      </c>
      <c r="E24" s="4" t="str">
        <f t="shared" si="1"/>
        <v/>
      </c>
      <c r="F24" s="4" t="str">
        <f t="shared" si="1"/>
        <v/>
      </c>
      <c r="G24" s="4"/>
      <c r="H24" s="4" t="str">
        <f t="shared" ref="H24:K24" si="2">H6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</row>
    <row r="25" ht="15.75" customHeight="1">
      <c r="A25" s="1" t="s">
        <v>89</v>
      </c>
      <c r="B25" s="1" t="str">
        <f>0.84^7</f>
        <v>0.2950903466</v>
      </c>
      <c r="D25" s="1" t="str">
        <f>0.84^2</f>
        <v>0.7056</v>
      </c>
    </row>
    <row r="26" ht="15.75" customHeight="1">
      <c r="A26" s="1" t="s">
        <v>93</v>
      </c>
      <c r="B26" s="1" t="str">
        <f>B23*B25</f>
        <v>2.089870821</v>
      </c>
      <c r="D26" s="1" t="str">
        <f>D23*D25</f>
        <v>0.01345626591</v>
      </c>
    </row>
    <row r="27" ht="15.75" customHeight="1">
      <c r="A27" s="1" t="s">
        <v>94</v>
      </c>
      <c r="B27" s="1" t="str">
        <f>SUM(B26:K26)/SUM(B25:K25)</f>
        <v>2.101876064</v>
      </c>
    </row>
    <row r="28" ht="15.75" customHeight="1">
      <c r="A28" s="1" t="s">
        <v>95</v>
      </c>
      <c r="B28" s="1" t="str">
        <f>B23-3.49</f>
        <v>3.592138896</v>
      </c>
      <c r="D28" s="1" t="str">
        <f>D23+1.304</f>
        <v>1.323070672</v>
      </c>
    </row>
    <row r="29" ht="15.75" customHeight="1">
      <c r="A29" s="4" t="s">
        <v>96</v>
      </c>
      <c r="B29" s="4" t="str">
        <f>0.8*B28+0.2*B23</f>
        <v>4.290138896</v>
      </c>
      <c r="D29" s="4" t="str">
        <f>0.8*D28+0.2*D23</f>
        <v>1.062270672</v>
      </c>
    </row>
    <row r="30" ht="15.75" customHeight="1">
      <c r="A30" s="4" t="s">
        <v>97</v>
      </c>
      <c r="B30" s="4" t="str">
        <f>B25*B29</f>
        <v>1.265978574</v>
      </c>
      <c r="D30" s="4" t="str">
        <f>D25*D29</f>
        <v>0.7495381859</v>
      </c>
    </row>
    <row r="31" ht="15.75" customHeight="1">
      <c r="A31" s="4" t="s">
        <v>98</v>
      </c>
      <c r="B31" s="1" t="str">
        <f>B24-7.8</f>
        <v>4.1</v>
      </c>
      <c r="D31" s="1" t="str">
        <f>D24-2.05</f>
        <v>-6.85</v>
      </c>
    </row>
    <row r="32" ht="15.75" customHeight="1">
      <c r="A32" s="4" t="s">
        <v>99</v>
      </c>
      <c r="B32" s="4" t="str">
        <f>0.8*B31+0.2*B24</f>
        <v>5.66</v>
      </c>
      <c r="D32" s="4" t="str">
        <f>0.8*D31+0.2*D24</f>
        <v>-6.44</v>
      </c>
    </row>
    <row r="33" ht="15.75" customHeight="1">
      <c r="A33" s="4" t="s">
        <v>100</v>
      </c>
      <c r="B33" s="4" t="str">
        <f>B25*B32</f>
        <v>1.670211362</v>
      </c>
      <c r="D33" s="4" t="str">
        <f>D25*D32</f>
        <v>-4.544064</v>
      </c>
    </row>
    <row r="34" ht="15.75" customHeight="1">
      <c r="A34" s="4" t="s">
        <v>101</v>
      </c>
      <c r="B34" s="4" t="str">
        <f>SUM(B30:K30)/SUM(B25:K25)</f>
        <v>2.014126314</v>
      </c>
    </row>
    <row r="35" ht="15.75" customHeight="1">
      <c r="A35" s="4" t="s">
        <v>102</v>
      </c>
      <c r="B35" s="4" t="str">
        <f>ABS(SUM(B33:K33)/SUM(B25:K25))</f>
        <v>2.871870053</v>
      </c>
    </row>
    <row r="36" ht="15.75" customHeight="1">
      <c r="A36" s="4" t="s">
        <v>103</v>
      </c>
      <c r="B36" s="4" t="str">
        <f>AVERAGE(B34:B35)</f>
        <v>2.442998184</v>
      </c>
    </row>
    <row r="37" ht="15.75" customHeight="1"/>
    <row r="38" ht="15.75" customHeight="1"/>
    <row r="39" ht="15.75" customHeight="1">
      <c r="A39" s="1" t="s">
        <v>104</v>
      </c>
      <c r="B39" s="1" t="str">
        <f>SUM(B7:B16)*B25 </f>
        <v>2.360722772</v>
      </c>
      <c r="D39" s="1" t="str">
        <f>SUM(D7:D16)*D25 </f>
        <v>5.6448</v>
      </c>
    </row>
    <row r="40" ht="15.75" customHeight="1">
      <c r="A40" s="1" t="s">
        <v>107</v>
      </c>
      <c r="B40" s="1" t="str">
        <f>(B39+D39)/(B25+D25)</f>
        <v>8</v>
      </c>
    </row>
    <row r="41" ht="15.75" customHeight="1">
      <c r="A41" s="1" t="s">
        <v>108</v>
      </c>
      <c r="B41" s="1" t="str">
        <f>B40*0.7+E17*2+B18*1</f>
        <v>5.6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"/>
      <c r="B1" s="1">
        <v>3714.0</v>
      </c>
      <c r="C1" s="1"/>
      <c r="D1" s="1">
        <v>9076.0</v>
      </c>
    </row>
    <row r="2" ht="15.75" customHeight="1">
      <c r="A2" s="1"/>
      <c r="B2" s="1" t="s">
        <v>7</v>
      </c>
      <c r="C2" s="1"/>
      <c r="D2" s="1" t="s">
        <v>7</v>
      </c>
    </row>
    <row r="3" ht="15.75" customHeight="1">
      <c r="A3" s="1"/>
      <c r="B3" s="1">
        <v>10.0</v>
      </c>
      <c r="C3" s="1"/>
      <c r="D3" s="1">
        <v>9.5</v>
      </c>
    </row>
    <row r="4" ht="15.75" customHeight="1">
      <c r="A4" s="1"/>
      <c r="B4" s="1">
        <v>20.3</v>
      </c>
      <c r="C4" s="1"/>
      <c r="D4" s="1">
        <v>0.9</v>
      </c>
    </row>
    <row r="5" ht="15.75" customHeight="1">
      <c r="B5" s="1" t="str">
        <f>ABS(17.1 - B4)</f>
        <v>3.2</v>
      </c>
      <c r="D5" s="1" t="str">
        <f>ABS(0.8 - D4)</f>
        <v>0.1</v>
      </c>
    </row>
    <row r="6" ht="15.75" customHeight="1">
      <c r="B6" s="1" t="str">
        <f>B4 - 17.1</f>
        <v>3.2</v>
      </c>
      <c r="D6" s="1" t="str">
        <f>0.8 - D4</f>
        <v>-0.1</v>
      </c>
    </row>
    <row r="7" ht="15.75" customHeight="1">
      <c r="A7" s="1"/>
      <c r="B7" s="1">
        <v>1.0</v>
      </c>
      <c r="C7" s="1"/>
      <c r="D7" s="1">
        <v>1.0</v>
      </c>
    </row>
    <row r="8" ht="15.75" customHeight="1">
      <c r="A8" s="1"/>
      <c r="B8" s="1">
        <v>1.0</v>
      </c>
      <c r="C8" s="1"/>
      <c r="D8" s="1">
        <v>1.0</v>
      </c>
    </row>
    <row r="9" ht="15.75" customHeight="1">
      <c r="A9" s="1"/>
      <c r="B9" s="1">
        <v>1.0</v>
      </c>
      <c r="C9" s="1"/>
      <c r="D9" s="1">
        <v>1.0</v>
      </c>
    </row>
    <row r="10" ht="15.75" customHeight="1">
      <c r="A10" s="1"/>
      <c r="B10" s="1">
        <v>1.0</v>
      </c>
      <c r="C10" s="1"/>
      <c r="D10" s="1">
        <v>1.0</v>
      </c>
    </row>
    <row r="11" ht="15.75" customHeight="1">
      <c r="A11" s="1"/>
      <c r="B11" s="1">
        <v>1.0</v>
      </c>
      <c r="C11" s="1"/>
      <c r="D11" s="1">
        <v>1.0</v>
      </c>
    </row>
    <row r="12" ht="15.75" customHeight="1">
      <c r="A12" s="1"/>
      <c r="B12" s="1">
        <v>1.0</v>
      </c>
      <c r="C12" s="1"/>
      <c r="D12" s="1">
        <v>1.0</v>
      </c>
    </row>
    <row r="13" ht="15.75" customHeight="1">
      <c r="A13" s="1"/>
      <c r="B13" s="1">
        <v>1.0</v>
      </c>
      <c r="C13" s="1"/>
      <c r="D13" s="1">
        <v>1.0</v>
      </c>
    </row>
    <row r="14" ht="15.75" customHeight="1">
      <c r="A14" s="1"/>
      <c r="B14" s="1">
        <v>1.0</v>
      </c>
      <c r="C14" s="1"/>
      <c r="D14" s="1">
        <v>1.0</v>
      </c>
    </row>
    <row r="15" ht="15.75" customHeight="1">
      <c r="A15" s="1"/>
      <c r="B15" s="1">
        <v>0.0</v>
      </c>
      <c r="C15" s="1"/>
      <c r="D15" s="1">
        <v>0.0</v>
      </c>
    </row>
    <row r="16" ht="15.75" customHeight="1">
      <c r="A16" s="1"/>
      <c r="B16" s="1">
        <v>0.0</v>
      </c>
      <c r="C16" s="1"/>
      <c r="D16" s="1">
        <v>0.0</v>
      </c>
    </row>
    <row r="17" ht="15.75" customHeight="1">
      <c r="A17" s="1"/>
      <c r="B17" s="1" t="s">
        <v>29</v>
      </c>
      <c r="C17" s="1"/>
      <c r="D17" s="1" t="s">
        <v>29</v>
      </c>
      <c r="E17" s="12">
        <v>0.0</v>
      </c>
    </row>
    <row r="18" ht="15.75" customHeight="1">
      <c r="A18" s="1"/>
      <c r="B18" s="1">
        <v>0.0</v>
      </c>
      <c r="C18" s="1"/>
      <c r="D18" s="1">
        <v>0.0</v>
      </c>
    </row>
    <row r="19" ht="15.75" customHeight="1">
      <c r="A19" s="1"/>
      <c r="B19" s="1">
        <v>1023.0</v>
      </c>
      <c r="C19" s="1"/>
      <c r="D19" s="1">
        <v>1004.0</v>
      </c>
    </row>
    <row r="20" ht="15.75" customHeight="1">
      <c r="A20" s="1"/>
      <c r="B20" s="1" t="s">
        <v>38</v>
      </c>
      <c r="C20" s="1"/>
      <c r="D20" s="1" t="s">
        <v>80</v>
      </c>
    </row>
    <row r="21" ht="15.75" customHeight="1">
      <c r="A21" s="4"/>
      <c r="B21" s="5">
        <v>0.031</v>
      </c>
      <c r="D21" s="5">
        <v>0.031</v>
      </c>
    </row>
    <row r="22" ht="15.75" customHeight="1">
      <c r="A22" s="4" t="s">
        <v>86</v>
      </c>
      <c r="B22" s="1" t="str">
        <f>0.2*SQRT(B3) + 134.6 / SQRT(B19)</f>
        <v>4.840760871</v>
      </c>
      <c r="D22" s="1" t="str">
        <f>0.2*SQRT(D3) + 134.6 / SQRT(D19)</f>
        <v>4.864379733</v>
      </c>
    </row>
    <row r="23" ht="15.75" customHeight="1">
      <c r="A23" s="4" t="s">
        <v>87</v>
      </c>
      <c r="B23" s="4" t="str">
        <f>B5-B22</f>
        <v>-1.640760871</v>
      </c>
      <c r="C23" s="4"/>
      <c r="D23" s="4" t="str">
        <f>D5-D22</f>
        <v>-4.764379733</v>
      </c>
      <c r="E23" s="4"/>
      <c r="F23" s="4"/>
      <c r="G23" s="4"/>
      <c r="H23" s="4"/>
      <c r="I23" s="4" t="str">
        <f t="shared" ref="I23:K23" si="1">I6</f>
        <v/>
      </c>
      <c r="J23" s="4" t="str">
        <f t="shared" si="1"/>
        <v/>
      </c>
      <c r="K23" s="4" t="str">
        <f t="shared" si="1"/>
        <v/>
      </c>
    </row>
    <row r="24" ht="15.75" customHeight="1">
      <c r="A24" s="4" t="s">
        <v>88</v>
      </c>
      <c r="B24" s="4" t="str">
        <f t="shared" ref="B24:D24" si="2">B6</f>
        <v>3.2</v>
      </c>
      <c r="C24" s="4" t="str">
        <f t="shared" si="2"/>
        <v/>
      </c>
      <c r="D24" s="4" t="str">
        <f t="shared" si="2"/>
        <v>-0.1</v>
      </c>
      <c r="E24" s="4"/>
      <c r="F24" s="4"/>
      <c r="G24" s="4"/>
      <c r="H24" s="4"/>
    </row>
    <row r="25" ht="15.75" customHeight="1">
      <c r="A25" s="1" t="s">
        <v>89</v>
      </c>
      <c r="B25" s="1" t="str">
        <f>0.84^7</f>
        <v>0.2950903466</v>
      </c>
      <c r="D25" s="1" t="str">
        <f>0.84^2</f>
        <v>0.7056</v>
      </c>
    </row>
    <row r="26" ht="15.75" customHeight="1">
      <c r="A26" s="1" t="s">
        <v>93</v>
      </c>
      <c r="B26" s="1" t="str">
        <f>B23*B25</f>
        <v>-0.4841726939</v>
      </c>
      <c r="D26" s="1" t="str">
        <f>D23*D25</f>
        <v>-3.36174634</v>
      </c>
    </row>
    <row r="27" ht="15.75" customHeight="1">
      <c r="A27" s="1" t="s">
        <v>94</v>
      </c>
      <c r="B27" s="1" t="str">
        <f>SUM(B26:K26)/SUM(B25:K25)</f>
        <v>-3.843265848</v>
      </c>
    </row>
    <row r="28" ht="15.75" customHeight="1">
      <c r="A28" s="1" t="s">
        <v>95</v>
      </c>
      <c r="B28" s="1" t="str">
        <f>B23-3.49</f>
        <v>-5.130760871</v>
      </c>
      <c r="D28" s="1" t="str">
        <f>D23+1.304</f>
        <v>-3.460379733</v>
      </c>
    </row>
    <row r="29" ht="15.75" customHeight="1">
      <c r="A29" s="4" t="s">
        <v>96</v>
      </c>
      <c r="B29" s="4" t="str">
        <f>0.8*B28+0.2*B23</f>
        <v>-4.432760871</v>
      </c>
      <c r="D29" s="4" t="str">
        <f>0.8*D28+0.2*D23</f>
        <v>-3.721179733</v>
      </c>
    </row>
    <row r="30" ht="15.75" customHeight="1">
      <c r="A30" s="4" t="s">
        <v>97</v>
      </c>
      <c r="B30" s="4" t="str">
        <f>B25*B29</f>
        <v>-1.308064941</v>
      </c>
      <c r="D30" s="4" t="str">
        <f>D25*D29</f>
        <v>-2.62566442</v>
      </c>
    </row>
    <row r="31" ht="15.75" customHeight="1">
      <c r="A31" s="4" t="s">
        <v>98</v>
      </c>
      <c r="B31" s="1" t="str">
        <f>B24-7.8</f>
        <v>-4.6</v>
      </c>
      <c r="D31" s="1" t="str">
        <f>D24-2.05</f>
        <v>-2.15</v>
      </c>
    </row>
    <row r="32" ht="15.75" customHeight="1">
      <c r="A32" s="4" t="s">
        <v>99</v>
      </c>
      <c r="B32" s="4" t="str">
        <f>0.8*B31+0.2*B24</f>
        <v>-3.04</v>
      </c>
      <c r="D32" s="4" t="str">
        <f>0.8*D31+0.2*D24</f>
        <v>-1.74</v>
      </c>
    </row>
    <row r="33" ht="15.75" customHeight="1">
      <c r="A33" s="4" t="s">
        <v>100</v>
      </c>
      <c r="B33" s="4" t="str">
        <f>B25*B32</f>
        <v>-0.8970746535</v>
      </c>
      <c r="D33" s="4" t="str">
        <f>D25*D32</f>
        <v>-1.227744</v>
      </c>
    </row>
    <row r="34" ht="15.75" customHeight="1">
      <c r="A34" s="4" t="s">
        <v>101</v>
      </c>
      <c r="B34" s="4" t="str">
        <f>SUM(B30:K30)/SUM(B25:K25)</f>
        <v>-3.931015598</v>
      </c>
    </row>
    <row r="35" ht="15.75" customHeight="1">
      <c r="A35" s="4" t="s">
        <v>102</v>
      </c>
      <c r="B35" s="4" t="str">
        <f>ABS(SUM(B33:K33)/SUM(B25:K25))</f>
        <v>2.123352804</v>
      </c>
    </row>
    <row r="36" ht="15.75" customHeight="1">
      <c r="A36" s="1" t="s">
        <v>103</v>
      </c>
      <c r="B36" s="1" t="str">
        <f t="shared" ref="B36:B37" si="3">AVERAGE(B34:B35)</f>
        <v>-0.9038313969</v>
      </c>
    </row>
    <row r="37" ht="15.75" customHeight="1">
      <c r="A37" s="4" t="s">
        <v>103</v>
      </c>
      <c r="B37" s="4" t="str">
        <f t="shared" si="3"/>
        <v>0.6097607036</v>
      </c>
    </row>
    <row r="38" ht="15.75" customHeight="1">
      <c r="A38" s="1"/>
    </row>
    <row r="39" ht="15.75" customHeight="1">
      <c r="A39" s="1" t="s">
        <v>104</v>
      </c>
      <c r="B39" s="1" t="str">
        <f>SUM(B7:B16)*B25 </f>
        <v>2.360722772</v>
      </c>
      <c r="D39" s="1" t="str">
        <f>SUM(D7:D16)*D25 </f>
        <v>5.6448</v>
      </c>
    </row>
    <row r="40" ht="15.75" customHeight="1">
      <c r="A40" s="1" t="s">
        <v>105</v>
      </c>
      <c r="B40" s="1" t="str">
        <f>(B39+D39)/(B25+D25)</f>
        <v>8</v>
      </c>
    </row>
    <row r="41" ht="15.75" customHeight="1">
      <c r="A41" s="1" t="s">
        <v>108</v>
      </c>
      <c r="B41" s="1" t="str">
        <f>B40*0.7+E17*2+B18*1</f>
        <v>5.6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"/>
      <c r="B1" s="1">
        <v>3716.0</v>
      </c>
      <c r="D1" s="10">
        <v>9060.0</v>
      </c>
      <c r="E1" s="10">
        <v>9065.0</v>
      </c>
      <c r="F1" s="10">
        <v>9095.0</v>
      </c>
      <c r="G1" s="10">
        <v>9119.0</v>
      </c>
      <c r="H1" s="10">
        <v>9136.0</v>
      </c>
    </row>
    <row r="2" ht="15.75" customHeight="1">
      <c r="A2" s="1"/>
      <c r="B2" s="1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ht="15.75" customHeight="1">
      <c r="A3" s="1"/>
      <c r="B3" s="1">
        <v>10.5</v>
      </c>
      <c r="D3" s="10">
        <v>11.5</v>
      </c>
      <c r="E3" s="10">
        <v>11.5</v>
      </c>
      <c r="F3" s="10">
        <v>8.5</v>
      </c>
      <c r="G3" s="10">
        <v>7.5</v>
      </c>
      <c r="H3" s="10">
        <v>4.5</v>
      </c>
    </row>
    <row r="4" ht="15.75" customHeight="1">
      <c r="A4" s="1"/>
      <c r="B4" s="1">
        <v>25.7</v>
      </c>
      <c r="D4" s="10">
        <v>1.8</v>
      </c>
      <c r="E4" s="10">
        <v>-7.7</v>
      </c>
      <c r="F4" s="10">
        <v>6.3</v>
      </c>
      <c r="G4" s="10">
        <v>0.7</v>
      </c>
      <c r="H4" s="10">
        <v>-0.5</v>
      </c>
    </row>
    <row r="5" ht="15.75" customHeight="1">
      <c r="B5" s="1" t="str">
        <f>ABS(17.1 - B4)</f>
        <v>8.6</v>
      </c>
      <c r="D5" s="10" t="str">
        <f t="shared" ref="D5:H5" si="1">ABS(0.8 - D4)</f>
        <v>1</v>
      </c>
      <c r="E5" s="10" t="str">
        <f t="shared" si="1"/>
        <v>8.5</v>
      </c>
      <c r="F5" s="10" t="str">
        <f t="shared" si="1"/>
        <v>5.5</v>
      </c>
      <c r="G5" s="10" t="str">
        <f t="shared" si="1"/>
        <v>0.1</v>
      </c>
      <c r="H5" s="10" t="str">
        <f t="shared" si="1"/>
        <v>1.3</v>
      </c>
    </row>
    <row r="6" ht="15.75" customHeight="1">
      <c r="B6" s="1" t="str">
        <f>B4 - 17.1</f>
        <v>8.6</v>
      </c>
      <c r="D6" s="10" t="str">
        <f t="shared" ref="D6:H6" si="2">0.8 - D4</f>
        <v>-1</v>
      </c>
      <c r="E6" s="10" t="str">
        <f t="shared" si="2"/>
        <v>8.5</v>
      </c>
      <c r="F6" s="10" t="str">
        <f t="shared" si="2"/>
        <v>-5.5</v>
      </c>
      <c r="G6" s="10" t="str">
        <f t="shared" si="2"/>
        <v>0.1</v>
      </c>
      <c r="H6" s="10" t="str">
        <f t="shared" si="2"/>
        <v>1.3</v>
      </c>
    </row>
    <row r="7" ht="15.75" customHeight="1">
      <c r="A7" s="1"/>
      <c r="B7" s="1">
        <v>1.0</v>
      </c>
      <c r="D7" s="10">
        <v>1.0</v>
      </c>
      <c r="E7" s="10">
        <v>1.0</v>
      </c>
      <c r="F7" s="10">
        <v>1.0</v>
      </c>
      <c r="G7" s="10">
        <v>1.0</v>
      </c>
      <c r="H7" s="10">
        <v>1.0</v>
      </c>
    </row>
    <row r="8" ht="15.75" customHeight="1">
      <c r="A8" s="1"/>
      <c r="B8" s="1">
        <v>1.0</v>
      </c>
      <c r="D8" s="10">
        <v>1.0</v>
      </c>
      <c r="E8" s="10">
        <v>1.0</v>
      </c>
      <c r="F8" s="10">
        <v>1.0</v>
      </c>
      <c r="G8" s="10">
        <v>1.0</v>
      </c>
      <c r="H8" s="10">
        <v>1.0</v>
      </c>
    </row>
    <row r="9" ht="15.75" customHeight="1">
      <c r="A9" s="1"/>
      <c r="B9" s="1">
        <v>1.0</v>
      </c>
      <c r="D9" s="10">
        <v>1.0</v>
      </c>
      <c r="E9" s="10">
        <v>1.0</v>
      </c>
      <c r="F9" s="10">
        <v>1.0</v>
      </c>
      <c r="G9" s="10">
        <v>1.0</v>
      </c>
      <c r="H9" s="10">
        <v>1.0</v>
      </c>
    </row>
    <row r="10" ht="15.75" customHeight="1">
      <c r="A10" s="1"/>
      <c r="B10" s="1">
        <v>1.0</v>
      </c>
      <c r="D10" s="10">
        <v>1.0</v>
      </c>
      <c r="E10" s="10">
        <v>1.0</v>
      </c>
      <c r="F10" s="10">
        <v>1.0</v>
      </c>
      <c r="G10" s="10">
        <v>1.0</v>
      </c>
      <c r="H10" s="10">
        <v>1.0</v>
      </c>
    </row>
    <row r="11" ht="15.75" customHeight="1">
      <c r="A11" s="1"/>
      <c r="B11" s="1">
        <v>1.0</v>
      </c>
      <c r="D11" s="10">
        <v>1.0</v>
      </c>
      <c r="E11" s="10">
        <v>1.0</v>
      </c>
      <c r="F11" s="10">
        <v>1.0</v>
      </c>
      <c r="G11" s="10">
        <v>1.0</v>
      </c>
      <c r="H11" s="10">
        <v>1.0</v>
      </c>
    </row>
    <row r="12" ht="15.75" customHeight="1">
      <c r="A12" s="1"/>
      <c r="B12" s="1">
        <v>1.0</v>
      </c>
      <c r="D12" s="10">
        <v>1.0</v>
      </c>
      <c r="E12" s="10">
        <v>1.0</v>
      </c>
      <c r="F12" s="10">
        <v>1.0</v>
      </c>
      <c r="G12" s="10">
        <v>1.0</v>
      </c>
      <c r="H12" s="10">
        <v>1.0</v>
      </c>
    </row>
    <row r="13" ht="15.75" customHeight="1">
      <c r="A13" s="1"/>
      <c r="B13" s="1">
        <v>1.0</v>
      </c>
      <c r="D13" s="10">
        <v>1.0</v>
      </c>
      <c r="E13" s="10">
        <v>1.0</v>
      </c>
      <c r="F13" s="10">
        <v>1.0</v>
      </c>
      <c r="G13" s="10">
        <v>1.0</v>
      </c>
      <c r="H13" s="10">
        <v>1.0</v>
      </c>
    </row>
    <row r="14" ht="15.75" customHeight="1">
      <c r="A14" s="1"/>
      <c r="B14" s="1">
        <v>1.0</v>
      </c>
      <c r="D14" s="10">
        <v>1.0</v>
      </c>
      <c r="E14" s="10">
        <v>1.0</v>
      </c>
      <c r="F14" s="10">
        <v>1.0</v>
      </c>
      <c r="G14" s="10">
        <v>1.0</v>
      </c>
      <c r="H14" s="10">
        <v>1.0</v>
      </c>
    </row>
    <row r="15" ht="15.75" customHeight="1">
      <c r="A15" s="1"/>
      <c r="B15" s="1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v>0.0</v>
      </c>
    </row>
    <row r="16" ht="15.75" customHeight="1">
      <c r="A16" s="1"/>
      <c r="B16" s="1">
        <v>0.5</v>
      </c>
      <c r="D16" s="10">
        <v>0.5</v>
      </c>
      <c r="E16" s="10">
        <v>0.5</v>
      </c>
      <c r="F16" s="10">
        <v>0.5</v>
      </c>
      <c r="G16" s="10">
        <v>0.5</v>
      </c>
      <c r="H16" s="10">
        <v>0.5</v>
      </c>
    </row>
    <row r="17" ht="15.75" customHeight="1">
      <c r="A17" s="8"/>
      <c r="B17" s="8" t="s">
        <v>30</v>
      </c>
      <c r="D17" s="4" t="s">
        <v>29</v>
      </c>
      <c r="E17" s="4" t="s">
        <v>33</v>
      </c>
      <c r="F17" s="4" t="s">
        <v>28</v>
      </c>
      <c r="G17" s="4" t="s">
        <v>29</v>
      </c>
      <c r="H17" s="4" t="s">
        <v>29</v>
      </c>
      <c r="I17" s="12">
        <v>0.5</v>
      </c>
    </row>
    <row r="18" ht="15.75" customHeight="1">
      <c r="A18" s="1"/>
      <c r="B18" s="1">
        <v>0.0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</row>
    <row r="19" ht="15.75" customHeight="1">
      <c r="A19" s="1"/>
      <c r="B19" s="1">
        <v>1010.0</v>
      </c>
      <c r="D19" s="10">
        <v>1000.0</v>
      </c>
      <c r="E19" s="10">
        <v>1005.0</v>
      </c>
      <c r="F19" s="10">
        <v>1012.0</v>
      </c>
      <c r="G19" s="10">
        <v>1006.0</v>
      </c>
      <c r="H19" s="10">
        <v>1000.0</v>
      </c>
    </row>
    <row r="20" ht="15.75" customHeight="1">
      <c r="A20" s="1"/>
      <c r="B20" s="1" t="s">
        <v>38</v>
      </c>
      <c r="D20" s="4" t="s">
        <v>80</v>
      </c>
      <c r="E20" s="4" t="s">
        <v>80</v>
      </c>
      <c r="F20" s="4" t="s">
        <v>80</v>
      </c>
      <c r="G20" s="4" t="s">
        <v>80</v>
      </c>
      <c r="H20" s="4" t="s">
        <v>80</v>
      </c>
    </row>
    <row r="21" ht="15.75" customHeight="1">
      <c r="A21" s="4"/>
      <c r="B21" s="5">
        <v>0.031</v>
      </c>
      <c r="D21" s="5">
        <v>0.031</v>
      </c>
      <c r="E21" s="5">
        <v>0.031</v>
      </c>
      <c r="F21" s="5">
        <v>0.031</v>
      </c>
      <c r="G21" s="5">
        <v>0.031</v>
      </c>
      <c r="H21" s="5">
        <v>0.031</v>
      </c>
    </row>
    <row r="22" ht="15.75" customHeight="1">
      <c r="A22" s="4" t="s">
        <v>86</v>
      </c>
      <c r="B22" s="1" t="str">
        <f>0.2*SQRT(B3) + 134.6 / SQRT(B19)</f>
        <v>4.883375969</v>
      </c>
      <c r="D22" s="1" t="str">
        <f t="shared" ref="D22:H22" si="3">0.2*SQRT(D3) + 134.6 / SQRT(D19)</f>
        <v>4.934658729</v>
      </c>
      <c r="E22" s="1" t="str">
        <f t="shared" si="3"/>
        <v>4.924057403</v>
      </c>
      <c r="F22" s="1" t="str">
        <f t="shared" si="3"/>
        <v>4.814209938</v>
      </c>
      <c r="G22" s="1" t="str">
        <f t="shared" si="3"/>
        <v>4.791436187</v>
      </c>
      <c r="H22" s="1" t="str">
        <f t="shared" si="3"/>
        <v>4.680689799</v>
      </c>
    </row>
    <row r="23" ht="15.75" customHeight="1">
      <c r="A23" s="4" t="s">
        <v>87</v>
      </c>
      <c r="B23" s="4" t="str">
        <f>B5-B22</f>
        <v>3.716624031</v>
      </c>
      <c r="C23" s="4"/>
      <c r="D23" s="4" t="str">
        <f t="shared" ref="D23:H23" si="4">D5-D22</f>
        <v>-3.934658729</v>
      </c>
      <c r="E23" s="4" t="str">
        <f t="shared" si="4"/>
        <v>3.575942597</v>
      </c>
      <c r="F23" s="4" t="str">
        <f t="shared" si="4"/>
        <v>0.6857900619</v>
      </c>
      <c r="G23" s="4" t="str">
        <f t="shared" si="4"/>
        <v>-4.691436187</v>
      </c>
      <c r="H23" s="4" t="str">
        <f t="shared" si="4"/>
        <v>-3.380689799</v>
      </c>
      <c r="I23" s="4"/>
      <c r="J23" s="4"/>
      <c r="K23" s="4"/>
    </row>
    <row r="24" ht="15.75" customHeight="1">
      <c r="A24" s="4" t="s">
        <v>88</v>
      </c>
      <c r="B24" s="4" t="str">
        <f t="shared" ref="B24:K24" si="5">B6</f>
        <v>8.6</v>
      </c>
      <c r="C24" s="4" t="str">
        <f t="shared" si="5"/>
        <v/>
      </c>
      <c r="D24" s="4" t="str">
        <f t="shared" si="5"/>
        <v>-1</v>
      </c>
      <c r="E24" s="4" t="str">
        <f t="shared" si="5"/>
        <v>8.5</v>
      </c>
      <c r="F24" s="4" t="str">
        <f t="shared" si="5"/>
        <v>-5.5</v>
      </c>
      <c r="G24" s="4" t="str">
        <f t="shared" si="5"/>
        <v>0.1</v>
      </c>
      <c r="H24" s="4" t="str">
        <f t="shared" si="5"/>
        <v>1.3</v>
      </c>
      <c r="I24" s="4" t="str">
        <f t="shared" si="5"/>
        <v/>
      </c>
      <c r="J24" s="4" t="str">
        <f t="shared" si="5"/>
        <v/>
      </c>
      <c r="K24" s="4" t="str">
        <f t="shared" si="5"/>
        <v/>
      </c>
    </row>
    <row r="25" ht="15.75" customHeight="1">
      <c r="A25" s="1" t="s">
        <v>89</v>
      </c>
      <c r="B25" s="1" t="str">
        <f>0.84^7</f>
        <v>0.2950903466</v>
      </c>
      <c r="D25" s="1" t="str">
        <f t="shared" ref="D25:H25" si="6">0.84^2</f>
        <v>0.7056</v>
      </c>
      <c r="E25" s="1" t="str">
        <f t="shared" si="6"/>
        <v>0.7056</v>
      </c>
      <c r="F25" s="1" t="str">
        <f t="shared" si="6"/>
        <v>0.7056</v>
      </c>
      <c r="G25" s="1" t="str">
        <f t="shared" si="6"/>
        <v>0.7056</v>
      </c>
      <c r="H25" s="1" t="str">
        <f t="shared" si="6"/>
        <v>0.7056</v>
      </c>
    </row>
    <row r="26" ht="15.75" customHeight="1">
      <c r="A26" s="1" t="s">
        <v>93</v>
      </c>
      <c r="B26" s="1" t="str">
        <f>B23*B25</f>
        <v>1.096739873</v>
      </c>
      <c r="D26" s="1" t="str">
        <f t="shared" ref="D26:H26" si="7">D23*D25</f>
        <v>-2.776295199</v>
      </c>
      <c r="E26" s="1" t="str">
        <f t="shared" si="7"/>
        <v>2.523185096</v>
      </c>
      <c r="F26" s="1" t="str">
        <f t="shared" si="7"/>
        <v>0.4838934677</v>
      </c>
      <c r="G26" s="1" t="str">
        <f t="shared" si="7"/>
        <v>-3.310277373</v>
      </c>
      <c r="H26" s="1" t="str">
        <f t="shared" si="7"/>
        <v>-2.385414722</v>
      </c>
    </row>
    <row r="27" ht="15.75" customHeight="1">
      <c r="A27" s="1" t="s">
        <v>94</v>
      </c>
      <c r="B27" s="1" t="str">
        <f>SUM(B26:K26)/SUM(B25:K25)</f>
        <v>-1.142575367</v>
      </c>
    </row>
    <row r="28" ht="15.75" customHeight="1">
      <c r="A28" s="1" t="s">
        <v>95</v>
      </c>
      <c r="B28" s="1" t="str">
        <f>B23-3.49</f>
        <v>0.2266240309</v>
      </c>
      <c r="D28" s="1" t="str">
        <f t="shared" ref="D28:H28" si="8">D23+1.304</f>
        <v>-2.630658729</v>
      </c>
      <c r="E28" s="1" t="str">
        <f t="shared" si="8"/>
        <v>4.879942597</v>
      </c>
      <c r="F28" s="1" t="str">
        <f t="shared" si="8"/>
        <v>1.989790062</v>
      </c>
      <c r="G28" s="1" t="str">
        <f t="shared" si="8"/>
        <v>-3.387436187</v>
      </c>
      <c r="H28" s="1" t="str">
        <f t="shared" si="8"/>
        <v>-2.076689799</v>
      </c>
    </row>
    <row r="29" ht="15.75" customHeight="1">
      <c r="A29" s="4" t="s">
        <v>96</v>
      </c>
      <c r="B29" s="4" t="str">
        <f>0.8*B28+0.2*B23</f>
        <v>0.9246240309</v>
      </c>
      <c r="D29" s="4" t="str">
        <f t="shared" ref="D29:H29" si="9">0.8*D28+0.2*D23</f>
        <v>-2.891458729</v>
      </c>
      <c r="E29" s="4" t="str">
        <f t="shared" si="9"/>
        <v>4.619142597</v>
      </c>
      <c r="F29" s="4" t="str">
        <f t="shared" si="9"/>
        <v>1.728990062</v>
      </c>
      <c r="G29" s="4" t="str">
        <f t="shared" si="9"/>
        <v>-3.648236187</v>
      </c>
      <c r="H29" s="4" t="str">
        <f t="shared" si="9"/>
        <v>-2.337489799</v>
      </c>
    </row>
    <row r="30" ht="15.75" customHeight="1">
      <c r="A30" s="4" t="s">
        <v>97</v>
      </c>
      <c r="B30" s="4" t="str">
        <f>B25*B29</f>
        <v>0.2728476257</v>
      </c>
      <c r="D30" s="4" t="str">
        <f t="shared" ref="D30:H30" si="10">D25*D29</f>
        <v>-2.040213279</v>
      </c>
      <c r="E30" s="4" t="str">
        <f t="shared" si="10"/>
        <v>3.259267016</v>
      </c>
      <c r="F30" s="4" t="str">
        <f t="shared" si="10"/>
        <v>1.219975388</v>
      </c>
      <c r="G30" s="4" t="str">
        <f t="shared" si="10"/>
        <v>-2.574195453</v>
      </c>
      <c r="H30" s="4" t="str">
        <f t="shared" si="10"/>
        <v>-1.649332802</v>
      </c>
    </row>
    <row r="31" ht="15.75" customHeight="1">
      <c r="A31" s="4" t="s">
        <v>98</v>
      </c>
      <c r="B31" s="1" t="str">
        <f>B24-7.8</f>
        <v>0.8</v>
      </c>
      <c r="D31" s="1" t="str">
        <f t="shared" ref="D31:H31" si="11">D24-2.05</f>
        <v>-3.05</v>
      </c>
      <c r="E31" s="1" t="str">
        <f t="shared" si="11"/>
        <v>6.45</v>
      </c>
      <c r="F31" s="1" t="str">
        <f t="shared" si="11"/>
        <v>-7.55</v>
      </c>
      <c r="G31" s="1" t="str">
        <f t="shared" si="11"/>
        <v>-1.95</v>
      </c>
      <c r="H31" s="1" t="str">
        <f t="shared" si="11"/>
        <v>-0.75</v>
      </c>
    </row>
    <row r="32" ht="15.75" customHeight="1">
      <c r="A32" s="4" t="s">
        <v>99</v>
      </c>
      <c r="B32" s="4" t="str">
        <f>0.8*B31+0.2*B24</f>
        <v>2.36</v>
      </c>
      <c r="D32" s="4" t="str">
        <f t="shared" ref="D32:H32" si="12">0.8*D31+0.2*D24</f>
        <v>-2.64</v>
      </c>
      <c r="E32" s="4" t="str">
        <f t="shared" si="12"/>
        <v>6.86</v>
      </c>
      <c r="F32" s="4" t="str">
        <f t="shared" si="12"/>
        <v>-7.14</v>
      </c>
      <c r="G32" s="4" t="str">
        <f t="shared" si="12"/>
        <v>-1.54</v>
      </c>
      <c r="H32" s="4" t="str">
        <f t="shared" si="12"/>
        <v>-0.34</v>
      </c>
      <c r="I32" s="4"/>
      <c r="J32" s="4"/>
    </row>
    <row r="33" ht="15.75" customHeight="1">
      <c r="A33" s="4" t="s">
        <v>100</v>
      </c>
      <c r="B33" s="4" t="str">
        <f>B25*B32</f>
        <v>0.6964132179</v>
      </c>
      <c r="D33" s="4" t="str">
        <f t="shared" ref="D33:H33" si="13">D25*D32</f>
        <v>-1.862784</v>
      </c>
      <c r="E33" s="4" t="str">
        <f t="shared" si="13"/>
        <v>4.840416</v>
      </c>
      <c r="F33" s="4" t="str">
        <f t="shared" si="13"/>
        <v>-5.037984</v>
      </c>
      <c r="G33" s="4" t="str">
        <f t="shared" si="13"/>
        <v>-1.086624</v>
      </c>
      <c r="H33" s="4" t="str">
        <f t="shared" si="13"/>
        <v>-0.239904</v>
      </c>
      <c r="I33" s="4"/>
      <c r="J33" s="4"/>
    </row>
    <row r="34" ht="15.75" customHeight="1">
      <c r="A34" s="4" t="s">
        <v>101</v>
      </c>
      <c r="B34" s="4" t="str">
        <f>SUM(B30:K30)/SUM(B25:K25)</f>
        <v>-0.3954004138</v>
      </c>
      <c r="D34" s="4"/>
      <c r="E34" s="4"/>
      <c r="F34" s="4"/>
      <c r="G34" s="4"/>
      <c r="H34" s="4"/>
    </row>
    <row r="35" ht="15.75" customHeight="1">
      <c r="A35" s="4" t="s">
        <v>102</v>
      </c>
      <c r="B35" s="4" t="str">
        <f>ABS(SUM(B33:K33)/SUM(B25:K25))</f>
        <v>0.7037413554</v>
      </c>
      <c r="D35" s="4"/>
      <c r="E35" s="4"/>
      <c r="F35" s="4"/>
      <c r="G35" s="4"/>
      <c r="H35" s="4"/>
    </row>
    <row r="36" ht="15.75" customHeight="1">
      <c r="A36" s="4" t="s">
        <v>103</v>
      </c>
      <c r="B36" s="4" t="str">
        <f>AVERAGE(B34:B35)</f>
        <v>0.1541704708</v>
      </c>
      <c r="D36" s="4"/>
      <c r="E36" s="4"/>
      <c r="F36" s="4"/>
      <c r="G36" s="4"/>
      <c r="H36" s="4"/>
    </row>
    <row r="37" ht="15.75" customHeight="1">
      <c r="D37" s="4"/>
      <c r="E37" s="4"/>
      <c r="F37" s="4"/>
      <c r="G37" s="4"/>
      <c r="H37" s="4"/>
    </row>
    <row r="38" ht="15.75" customHeight="1">
      <c r="D38" s="4"/>
      <c r="E38" s="4"/>
      <c r="F38" s="4"/>
      <c r="G38" s="4"/>
      <c r="H38" s="4"/>
    </row>
    <row r="39" ht="15.75" customHeight="1">
      <c r="A39" s="1" t="s">
        <v>104</v>
      </c>
      <c r="B39" s="1" t="str">
        <f>SUM(B7:B16)*B25 </f>
        <v>2.508267946</v>
      </c>
      <c r="D39" s="1" t="str">
        <f t="shared" ref="D39:H39" si="14">SUM(D7:D16)*D25 </f>
        <v>5.9976</v>
      </c>
      <c r="E39" s="1" t="str">
        <f t="shared" si="14"/>
        <v>5.9976</v>
      </c>
      <c r="F39" s="1" t="str">
        <f t="shared" si="14"/>
        <v>5.9976</v>
      </c>
      <c r="G39" s="1" t="str">
        <f t="shared" si="14"/>
        <v>5.9976</v>
      </c>
      <c r="H39" s="1" t="str">
        <f t="shared" si="14"/>
        <v>5.9976</v>
      </c>
    </row>
    <row r="40" ht="15.75" customHeight="1">
      <c r="A40" s="1" t="s">
        <v>105</v>
      </c>
      <c r="B40" s="1" t="str">
        <f>SUM(B39:K39)/SUM(B25:K25)</f>
        <v>8.5</v>
      </c>
      <c r="E40" s="4"/>
      <c r="F40" s="4"/>
    </row>
    <row r="41" ht="15.75" customHeight="1">
      <c r="A41" s="1" t="s">
        <v>108</v>
      </c>
      <c r="B41" s="1" t="str">
        <f>B40*0.7+I17*2+B18</f>
        <v>6.95</v>
      </c>
      <c r="D41" s="4"/>
      <c r="E41" s="4"/>
      <c r="F41" s="4"/>
      <c r="G41" s="4"/>
      <c r="H41" s="4"/>
    </row>
    <row r="42" ht="15.75" customHeight="1">
      <c r="D42" s="4"/>
      <c r="E42" s="4"/>
      <c r="F42" s="4"/>
      <c r="G42" s="4"/>
      <c r="H42" s="4"/>
    </row>
    <row r="43" ht="15.75" customHeight="1">
      <c r="D43" s="4"/>
      <c r="E43" s="4"/>
      <c r="F43" s="4"/>
      <c r="G43" s="4"/>
      <c r="H43" s="4"/>
    </row>
    <row r="44" ht="15.75" customHeight="1">
      <c r="D44" s="4"/>
      <c r="E44" s="4"/>
      <c r="F44" s="4"/>
      <c r="G44" s="4"/>
      <c r="H44" s="4"/>
    </row>
    <row r="45" ht="15.75" customHeight="1">
      <c r="D45" s="4"/>
      <c r="E45" s="4"/>
      <c r="F45" s="4"/>
      <c r="G45" s="4"/>
      <c r="H45" s="4"/>
    </row>
    <row r="46" ht="15.75" customHeight="1">
      <c r="D46" s="4"/>
      <c r="E46" s="4"/>
      <c r="F46" s="4"/>
      <c r="G46" s="4"/>
      <c r="H46" s="4"/>
    </row>
    <row r="47" ht="15.75" customHeight="1">
      <c r="D47" s="4"/>
      <c r="E47" s="4"/>
      <c r="F47" s="4"/>
      <c r="G47" s="4"/>
      <c r="H47" s="4"/>
    </row>
    <row r="48" ht="15.75" customHeight="1">
      <c r="D48" s="4"/>
      <c r="E48" s="4"/>
      <c r="F48" s="4"/>
      <c r="G48" s="4"/>
      <c r="H48" s="4"/>
    </row>
    <row r="49" ht="15.75" customHeight="1">
      <c r="D49" s="4"/>
      <c r="E49" s="4"/>
      <c r="F49" s="4"/>
      <c r="G49" s="4"/>
      <c r="H49" s="4"/>
    </row>
    <row r="50" ht="15.75" customHeight="1">
      <c r="D50" s="4"/>
      <c r="E50" s="4"/>
      <c r="F50" s="4"/>
      <c r="G50" s="4"/>
      <c r="H50" s="4"/>
    </row>
    <row r="51" ht="15.75" customHeight="1">
      <c r="D51" s="4"/>
      <c r="E51" s="4"/>
      <c r="F51" s="4"/>
      <c r="G51" s="4"/>
      <c r="H51" s="4"/>
    </row>
    <row r="52" ht="15.75" customHeight="1">
      <c r="D52" s="4"/>
      <c r="E52" s="4"/>
      <c r="F52" s="4"/>
      <c r="G52" s="4"/>
      <c r="H52" s="4"/>
    </row>
    <row r="53" ht="15.75" customHeight="1">
      <c r="D53" s="4"/>
      <c r="E53" s="4"/>
      <c r="F53" s="4"/>
      <c r="G53" s="4"/>
      <c r="H53" s="4"/>
    </row>
    <row r="54" ht="15.75" customHeight="1">
      <c r="D54" s="4"/>
      <c r="E54" s="4"/>
      <c r="F54" s="4"/>
      <c r="G54" s="4"/>
      <c r="H54" s="4"/>
    </row>
    <row r="55" ht="15.75" customHeight="1">
      <c r="D55" s="4"/>
      <c r="E55" s="4"/>
      <c r="F55" s="4"/>
      <c r="G55" s="4"/>
      <c r="H55" s="4"/>
    </row>
    <row r="56" ht="15.75" customHeight="1">
      <c r="D56" s="4"/>
      <c r="E56" s="4"/>
      <c r="F56" s="4"/>
      <c r="G56" s="4"/>
      <c r="H56" s="4"/>
    </row>
    <row r="57" ht="15.75" customHeight="1">
      <c r="D57" s="4"/>
      <c r="E57" s="4"/>
      <c r="F57" s="4"/>
      <c r="G57" s="4"/>
      <c r="H57" s="4"/>
    </row>
    <row r="58" ht="15.75" customHeight="1">
      <c r="D58" s="4"/>
      <c r="E58" s="4"/>
      <c r="F58" s="4"/>
      <c r="G58" s="4"/>
      <c r="H58" s="4"/>
    </row>
    <row r="59" ht="15.75" customHeight="1">
      <c r="D59" s="4"/>
      <c r="E59" s="4"/>
      <c r="F59" s="4"/>
      <c r="G59" s="4"/>
      <c r="H59" s="4"/>
    </row>
    <row r="60" ht="15.75" customHeight="1">
      <c r="D60" s="4"/>
      <c r="E60" s="4"/>
      <c r="F60" s="4"/>
      <c r="G60" s="4"/>
      <c r="H60" s="4"/>
    </row>
    <row r="61" ht="15.75" customHeight="1">
      <c r="D61" s="4"/>
      <c r="E61" s="4"/>
      <c r="F61" s="4"/>
      <c r="G61" s="4"/>
      <c r="H61" s="4"/>
    </row>
    <row r="62" ht="15.75" customHeight="1">
      <c r="D62" s="4"/>
      <c r="E62" s="4"/>
      <c r="F62" s="4"/>
      <c r="G62" s="4"/>
      <c r="H62" s="4"/>
    </row>
    <row r="63" ht="15.75" customHeight="1">
      <c r="D63" s="4"/>
      <c r="E63" s="4"/>
      <c r="F63" s="4"/>
      <c r="G63" s="4"/>
      <c r="H63" s="4"/>
    </row>
    <row r="64" ht="15.75" customHeight="1">
      <c r="D64" s="4"/>
      <c r="E64" s="4"/>
      <c r="F64" s="4"/>
      <c r="G64" s="4"/>
      <c r="H64" s="4"/>
    </row>
    <row r="65" ht="15.75" customHeight="1">
      <c r="D65" s="4"/>
      <c r="E65" s="4"/>
      <c r="F65" s="4"/>
      <c r="G65" s="4"/>
      <c r="H65" s="4"/>
    </row>
    <row r="66" ht="15.75" customHeight="1">
      <c r="D66" s="4"/>
      <c r="E66" s="4"/>
      <c r="F66" s="4"/>
      <c r="G66" s="4"/>
      <c r="H66" s="4"/>
    </row>
    <row r="67" ht="15.75" customHeight="1">
      <c r="D67" s="4"/>
      <c r="E67" s="4"/>
      <c r="F67" s="4"/>
      <c r="G67" s="4"/>
      <c r="H67" s="4"/>
    </row>
    <row r="68" ht="15.75" customHeight="1">
      <c r="D68" s="4"/>
      <c r="E68" s="4"/>
      <c r="F68" s="4"/>
      <c r="G68" s="4"/>
      <c r="H68" s="4"/>
    </row>
    <row r="69" ht="15.75" customHeight="1">
      <c r="D69" s="4"/>
      <c r="E69" s="4"/>
      <c r="F69" s="4"/>
      <c r="G69" s="4"/>
      <c r="H69" s="4"/>
    </row>
    <row r="70" ht="15.75" customHeight="1">
      <c r="D70" s="4"/>
      <c r="E70" s="4"/>
      <c r="F70" s="4"/>
      <c r="G70" s="4"/>
      <c r="H70" s="4"/>
    </row>
    <row r="71" ht="15.75" customHeight="1">
      <c r="D71" s="4"/>
      <c r="E71" s="4"/>
      <c r="F71" s="4"/>
      <c r="G71" s="4"/>
      <c r="H71" s="4"/>
    </row>
    <row r="72" ht="15.75" customHeight="1">
      <c r="D72" s="4"/>
      <c r="E72" s="4"/>
      <c r="F72" s="4"/>
      <c r="G72" s="4"/>
      <c r="H72" s="4"/>
    </row>
    <row r="73" ht="15.75" customHeight="1">
      <c r="D73" s="4"/>
      <c r="E73" s="4"/>
      <c r="F73" s="4"/>
      <c r="G73" s="4"/>
      <c r="H73" s="4"/>
    </row>
    <row r="74" ht="15.75" customHeight="1">
      <c r="D74" s="4"/>
      <c r="E74" s="4"/>
      <c r="F74" s="4"/>
      <c r="G74" s="4"/>
      <c r="H74" s="4"/>
    </row>
    <row r="75" ht="15.75" customHeight="1">
      <c r="D75" s="4"/>
      <c r="E75" s="4"/>
      <c r="F75" s="4"/>
      <c r="G75" s="4"/>
      <c r="H75" s="4"/>
    </row>
    <row r="76" ht="15.75" customHeight="1">
      <c r="D76" s="4"/>
      <c r="E76" s="4"/>
      <c r="F76" s="4"/>
      <c r="G76" s="4"/>
      <c r="H76" s="4"/>
    </row>
    <row r="77" ht="15.75" customHeight="1">
      <c r="D77" s="4"/>
      <c r="E77" s="4"/>
      <c r="F77" s="4"/>
      <c r="G77" s="4"/>
      <c r="H77" s="4"/>
    </row>
    <row r="78" ht="15.75" customHeight="1">
      <c r="D78" s="4"/>
      <c r="E78" s="4"/>
      <c r="F78" s="4"/>
      <c r="G78" s="4"/>
      <c r="H78" s="4"/>
    </row>
    <row r="79" ht="15.75" customHeight="1">
      <c r="D79" s="4"/>
      <c r="E79" s="4"/>
      <c r="F79" s="4"/>
      <c r="G79" s="4"/>
      <c r="H79" s="4"/>
    </row>
    <row r="80" ht="15.75" customHeight="1">
      <c r="D80" s="4"/>
      <c r="E80" s="4"/>
      <c r="F80" s="4"/>
      <c r="G80" s="4"/>
      <c r="H80" s="4"/>
    </row>
    <row r="81" ht="15.75" customHeight="1">
      <c r="D81" s="4"/>
      <c r="E81" s="4"/>
      <c r="F81" s="4"/>
      <c r="G81" s="4"/>
      <c r="H81" s="4"/>
    </row>
    <row r="82" ht="15.75" customHeight="1">
      <c r="D82" s="4"/>
      <c r="E82" s="4"/>
      <c r="F82" s="4"/>
      <c r="G82" s="4"/>
      <c r="H82" s="4"/>
    </row>
    <row r="83" ht="15.75" customHeight="1">
      <c r="D83" s="4"/>
      <c r="E83" s="4"/>
      <c r="F83" s="4"/>
      <c r="G83" s="4"/>
      <c r="H83" s="4"/>
    </row>
    <row r="84" ht="15.75" customHeight="1">
      <c r="D84" s="4"/>
      <c r="E84" s="4"/>
      <c r="F84" s="4"/>
      <c r="G84" s="4"/>
      <c r="H84" s="4"/>
    </row>
    <row r="85" ht="15.75" customHeight="1">
      <c r="D85" s="4"/>
      <c r="E85" s="4"/>
      <c r="F85" s="4"/>
      <c r="G85" s="4"/>
      <c r="H85" s="4"/>
    </row>
    <row r="86" ht="15.75" customHeight="1">
      <c r="D86" s="4"/>
      <c r="E86" s="4"/>
      <c r="F86" s="4"/>
      <c r="G86" s="4"/>
      <c r="H86" s="4"/>
    </row>
    <row r="87" ht="15.75" customHeight="1">
      <c r="D87" s="4"/>
      <c r="E87" s="4"/>
      <c r="F87" s="4"/>
      <c r="G87" s="4"/>
      <c r="H87" s="4"/>
    </row>
    <row r="88" ht="15.75" customHeight="1">
      <c r="D88" s="4"/>
      <c r="E88" s="4"/>
      <c r="F88" s="4"/>
      <c r="G88" s="4"/>
      <c r="H88" s="4"/>
    </row>
    <row r="89" ht="15.75" customHeight="1">
      <c r="D89" s="4"/>
      <c r="E89" s="4"/>
      <c r="F89" s="4"/>
      <c r="G89" s="4"/>
      <c r="H89" s="4"/>
    </row>
    <row r="90" ht="15.75" customHeight="1">
      <c r="D90" s="4"/>
      <c r="E90" s="4"/>
      <c r="F90" s="4"/>
      <c r="G90" s="4"/>
      <c r="H90" s="4"/>
    </row>
    <row r="91" ht="15.75" customHeight="1">
      <c r="D91" s="4"/>
      <c r="E91" s="4"/>
      <c r="F91" s="4"/>
      <c r="G91" s="4"/>
      <c r="H91" s="4"/>
    </row>
    <row r="92" ht="15.75" customHeight="1">
      <c r="D92" s="4"/>
      <c r="E92" s="4"/>
      <c r="F92" s="4"/>
      <c r="G92" s="4"/>
      <c r="H92" s="4"/>
    </row>
    <row r="93" ht="15.75" customHeight="1">
      <c r="D93" s="4"/>
      <c r="E93" s="4"/>
      <c r="F93" s="4"/>
      <c r="G93" s="4"/>
      <c r="H93" s="4"/>
    </row>
    <row r="94" ht="15.75" customHeight="1">
      <c r="D94" s="4"/>
      <c r="E94" s="4"/>
      <c r="F94" s="4"/>
      <c r="G94" s="4"/>
      <c r="H94" s="4"/>
    </row>
    <row r="95" ht="15.75" customHeight="1">
      <c r="D95" s="4"/>
      <c r="E95" s="4"/>
      <c r="F95" s="4"/>
      <c r="G95" s="4"/>
      <c r="H95" s="4"/>
    </row>
    <row r="96" ht="15.75" customHeight="1">
      <c r="D96" s="4"/>
      <c r="E96" s="4"/>
      <c r="F96" s="4"/>
      <c r="G96" s="4"/>
      <c r="H96" s="4"/>
    </row>
    <row r="97" ht="15.75" customHeight="1">
      <c r="D97" s="4"/>
      <c r="E97" s="4"/>
      <c r="F97" s="4"/>
      <c r="G97" s="4"/>
      <c r="H97" s="4"/>
    </row>
    <row r="98" ht="15.75" customHeight="1">
      <c r="D98" s="4"/>
      <c r="E98" s="4"/>
      <c r="F98" s="4"/>
      <c r="G98" s="4"/>
      <c r="H98" s="4"/>
    </row>
    <row r="99" ht="15.75" customHeight="1">
      <c r="D99" s="4"/>
      <c r="E99" s="4"/>
      <c r="F99" s="4"/>
      <c r="G99" s="4"/>
      <c r="H99" s="4"/>
    </row>
    <row r="100" ht="15.75" customHeight="1">
      <c r="D100" s="4"/>
      <c r="E100" s="4"/>
      <c r="F100" s="4"/>
      <c r="G100" s="4"/>
      <c r="H100" s="4"/>
    </row>
    <row r="101" ht="15.75" customHeight="1">
      <c r="D101" s="4"/>
      <c r="E101" s="4"/>
      <c r="F101" s="4"/>
      <c r="G101" s="4"/>
      <c r="H101" s="4"/>
    </row>
    <row r="102" ht="15.75" customHeight="1">
      <c r="D102" s="4"/>
      <c r="E102" s="4"/>
      <c r="F102" s="4"/>
      <c r="G102" s="4"/>
      <c r="H102" s="4"/>
    </row>
    <row r="103" ht="15.75" customHeight="1">
      <c r="D103" s="4"/>
      <c r="E103" s="4"/>
      <c r="F103" s="4"/>
      <c r="G103" s="4"/>
      <c r="H103" s="4"/>
    </row>
    <row r="104" ht="15.75" customHeight="1">
      <c r="D104" s="4"/>
      <c r="E104" s="4"/>
      <c r="F104" s="4"/>
      <c r="G104" s="4"/>
      <c r="H104" s="4"/>
    </row>
    <row r="105" ht="15.75" customHeight="1">
      <c r="D105" s="4"/>
      <c r="E105" s="4"/>
      <c r="F105" s="4"/>
      <c r="G105" s="4"/>
      <c r="H105" s="4"/>
    </row>
    <row r="106" ht="15.75" customHeight="1">
      <c r="D106" s="4"/>
      <c r="E106" s="4"/>
      <c r="F106" s="4"/>
      <c r="G106" s="4"/>
      <c r="H106" s="4"/>
    </row>
    <row r="107" ht="15.75" customHeight="1">
      <c r="D107" s="4"/>
      <c r="E107" s="4"/>
      <c r="F107" s="4"/>
      <c r="G107" s="4"/>
      <c r="H107" s="4"/>
    </row>
    <row r="108" ht="15.75" customHeight="1">
      <c r="D108" s="4"/>
      <c r="E108" s="4"/>
      <c r="F108" s="4"/>
      <c r="G108" s="4"/>
      <c r="H108" s="4"/>
    </row>
    <row r="109" ht="15.75" customHeight="1">
      <c r="D109" s="4"/>
      <c r="E109" s="4"/>
      <c r="F109" s="4"/>
      <c r="G109" s="4"/>
      <c r="H109" s="4"/>
    </row>
    <row r="110" ht="15.75" customHeight="1">
      <c r="D110" s="4"/>
      <c r="E110" s="4"/>
      <c r="F110" s="4"/>
      <c r="G110" s="4"/>
      <c r="H110" s="4"/>
    </row>
    <row r="111" ht="15.75" customHeight="1">
      <c r="D111" s="4"/>
      <c r="E111" s="4"/>
      <c r="F111" s="4"/>
      <c r="G111" s="4"/>
      <c r="H111" s="4"/>
    </row>
    <row r="112" ht="15.75" customHeight="1">
      <c r="D112" s="4"/>
      <c r="E112" s="4"/>
      <c r="F112" s="4"/>
      <c r="G112" s="4"/>
      <c r="H112" s="4"/>
    </row>
    <row r="113" ht="15.75" customHeight="1">
      <c r="D113" s="4"/>
      <c r="E113" s="4"/>
      <c r="F113" s="4"/>
      <c r="G113" s="4"/>
      <c r="H113" s="4"/>
    </row>
    <row r="114" ht="15.75" customHeight="1">
      <c r="D114" s="4"/>
      <c r="E114" s="4"/>
      <c r="F114" s="4"/>
      <c r="G114" s="4"/>
      <c r="H114" s="4"/>
    </row>
    <row r="115" ht="15.75" customHeight="1">
      <c r="D115" s="4"/>
      <c r="E115" s="4"/>
      <c r="F115" s="4"/>
      <c r="G115" s="4"/>
      <c r="H115" s="4"/>
    </row>
    <row r="116" ht="15.75" customHeight="1">
      <c r="D116" s="4"/>
      <c r="E116" s="4"/>
      <c r="F116" s="4"/>
      <c r="G116" s="4"/>
      <c r="H116" s="4"/>
    </row>
    <row r="117" ht="15.75" customHeight="1">
      <c r="D117" s="4"/>
      <c r="E117" s="4"/>
      <c r="F117" s="4"/>
      <c r="G117" s="4"/>
      <c r="H117" s="4"/>
    </row>
    <row r="118" ht="15.75" customHeight="1">
      <c r="D118" s="4"/>
      <c r="E118" s="4"/>
      <c r="F118" s="4"/>
      <c r="G118" s="4"/>
      <c r="H118" s="4"/>
    </row>
    <row r="119" ht="15.75" customHeight="1">
      <c r="D119" s="4"/>
      <c r="E119" s="4"/>
      <c r="F119" s="4"/>
      <c r="G119" s="4"/>
      <c r="H119" s="4"/>
    </row>
    <row r="120" ht="15.75" customHeight="1">
      <c r="D120" s="4"/>
      <c r="E120" s="4"/>
      <c r="F120" s="4"/>
      <c r="G120" s="4"/>
      <c r="H120" s="4"/>
    </row>
    <row r="121" ht="15.75" customHeight="1">
      <c r="D121" s="4"/>
      <c r="E121" s="4"/>
      <c r="F121" s="4"/>
      <c r="G121" s="4"/>
      <c r="H121" s="4"/>
    </row>
    <row r="122" ht="15.75" customHeight="1">
      <c r="D122" s="4"/>
      <c r="E122" s="4"/>
      <c r="F122" s="4"/>
      <c r="G122" s="4"/>
      <c r="H122" s="4"/>
    </row>
    <row r="123" ht="15.75" customHeight="1">
      <c r="D123" s="4"/>
      <c r="E123" s="4"/>
      <c r="F123" s="4"/>
      <c r="G123" s="4"/>
      <c r="H123" s="4"/>
    </row>
    <row r="124" ht="15.75" customHeight="1">
      <c r="D124" s="4"/>
      <c r="E124" s="4"/>
      <c r="F124" s="4"/>
      <c r="G124" s="4"/>
      <c r="H124" s="4"/>
    </row>
    <row r="125" ht="15.75" customHeight="1">
      <c r="D125" s="4"/>
      <c r="E125" s="4"/>
      <c r="F125" s="4"/>
      <c r="G125" s="4"/>
      <c r="H125" s="4"/>
    </row>
    <row r="126" ht="15.75" customHeight="1">
      <c r="D126" s="4"/>
      <c r="E126" s="4"/>
      <c r="F126" s="4"/>
      <c r="G126" s="4"/>
      <c r="H126" s="4"/>
    </row>
    <row r="127" ht="15.75" customHeight="1">
      <c r="D127" s="4"/>
      <c r="E127" s="4"/>
      <c r="F127" s="4"/>
      <c r="G127" s="4"/>
      <c r="H127" s="4"/>
    </row>
    <row r="128" ht="15.75" customHeight="1">
      <c r="D128" s="4"/>
      <c r="E128" s="4"/>
      <c r="F128" s="4"/>
      <c r="G128" s="4"/>
      <c r="H128" s="4"/>
    </row>
    <row r="129" ht="15.75" customHeight="1">
      <c r="D129" s="4"/>
      <c r="E129" s="4"/>
      <c r="F129" s="4"/>
      <c r="G129" s="4"/>
      <c r="H129" s="4"/>
    </row>
    <row r="130" ht="15.75" customHeight="1">
      <c r="D130" s="4"/>
      <c r="E130" s="4"/>
      <c r="F130" s="4"/>
      <c r="G130" s="4"/>
      <c r="H130" s="4"/>
    </row>
    <row r="131" ht="15.75" customHeight="1">
      <c r="D131" s="4"/>
      <c r="E131" s="4"/>
      <c r="F131" s="4"/>
      <c r="G131" s="4"/>
      <c r="H131" s="4"/>
    </row>
    <row r="132" ht="15.75" customHeight="1">
      <c r="D132" s="4"/>
      <c r="E132" s="4"/>
      <c r="F132" s="4"/>
      <c r="G132" s="4"/>
      <c r="H132" s="4"/>
    </row>
    <row r="133" ht="15.75" customHeight="1">
      <c r="D133" s="4"/>
      <c r="E133" s="4"/>
      <c r="F133" s="4"/>
      <c r="G133" s="4"/>
      <c r="H133" s="4"/>
    </row>
    <row r="134" ht="15.75" customHeight="1">
      <c r="D134" s="4"/>
      <c r="E134" s="4"/>
      <c r="F134" s="4"/>
      <c r="G134" s="4"/>
      <c r="H134" s="4"/>
    </row>
    <row r="135" ht="15.75" customHeight="1">
      <c r="D135" s="4"/>
      <c r="E135" s="4"/>
      <c r="F135" s="4"/>
      <c r="G135" s="4"/>
      <c r="H135" s="4"/>
    </row>
    <row r="136" ht="15.75" customHeight="1">
      <c r="D136" s="4"/>
      <c r="E136" s="4"/>
      <c r="F136" s="4"/>
      <c r="G136" s="4"/>
      <c r="H136" s="4"/>
    </row>
    <row r="137" ht="15.75" customHeight="1">
      <c r="D137" s="4"/>
      <c r="E137" s="4"/>
      <c r="F137" s="4"/>
      <c r="G137" s="4"/>
      <c r="H137" s="4"/>
    </row>
    <row r="138" ht="15.75" customHeight="1">
      <c r="D138" s="4"/>
      <c r="E138" s="4"/>
      <c r="F138" s="4"/>
      <c r="G138" s="4"/>
      <c r="H138" s="4"/>
    </row>
    <row r="139" ht="15.75" customHeight="1">
      <c r="D139" s="4"/>
      <c r="E139" s="4"/>
      <c r="F139" s="4"/>
      <c r="G139" s="4"/>
      <c r="H139" s="4"/>
    </row>
    <row r="140" ht="15.75" customHeight="1">
      <c r="D140" s="4"/>
      <c r="E140" s="4"/>
      <c r="F140" s="4"/>
      <c r="G140" s="4"/>
      <c r="H140" s="4"/>
    </row>
    <row r="141" ht="15.75" customHeight="1">
      <c r="D141" s="4"/>
      <c r="E141" s="4"/>
      <c r="F141" s="4"/>
      <c r="G141" s="4"/>
      <c r="H141" s="4"/>
    </row>
    <row r="142" ht="15.75" customHeight="1">
      <c r="D142" s="4"/>
      <c r="E142" s="4"/>
      <c r="F142" s="4"/>
      <c r="G142" s="4"/>
      <c r="H142" s="4"/>
    </row>
    <row r="143" ht="15.75" customHeight="1">
      <c r="D143" s="4"/>
      <c r="E143" s="4"/>
      <c r="F143" s="4"/>
      <c r="G143" s="4"/>
      <c r="H143" s="4"/>
    </row>
    <row r="144" ht="15.75" customHeight="1">
      <c r="D144" s="4"/>
      <c r="E144" s="4"/>
      <c r="F144" s="4"/>
      <c r="G144" s="4"/>
      <c r="H144" s="4"/>
    </row>
    <row r="145" ht="15.75" customHeight="1">
      <c r="D145" s="4"/>
      <c r="E145" s="4"/>
      <c r="F145" s="4"/>
      <c r="G145" s="4"/>
      <c r="H145" s="4"/>
    </row>
    <row r="146" ht="15.75" customHeight="1">
      <c r="D146" s="4"/>
      <c r="E146" s="4"/>
      <c r="F146" s="4"/>
      <c r="G146" s="4"/>
      <c r="H146" s="4"/>
    </row>
    <row r="147" ht="15.75" customHeight="1">
      <c r="D147" s="4"/>
      <c r="E147" s="4"/>
      <c r="F147" s="4"/>
      <c r="G147" s="4"/>
      <c r="H147" s="4"/>
    </row>
    <row r="148" ht="15.75" customHeight="1">
      <c r="D148" s="4"/>
      <c r="E148" s="4"/>
      <c r="F148" s="4"/>
      <c r="G148" s="4"/>
      <c r="H148" s="4"/>
    </row>
    <row r="149" ht="15.75" customHeight="1">
      <c r="D149" s="4"/>
      <c r="E149" s="4"/>
      <c r="F149" s="4"/>
      <c r="G149" s="4"/>
      <c r="H149" s="4"/>
    </row>
    <row r="150" ht="15.75" customHeight="1">
      <c r="D150" s="4"/>
      <c r="E150" s="4"/>
      <c r="F150" s="4"/>
      <c r="G150" s="4"/>
      <c r="H150" s="4"/>
    </row>
    <row r="151" ht="15.75" customHeight="1">
      <c r="D151" s="4"/>
      <c r="E151" s="4"/>
      <c r="F151" s="4"/>
      <c r="G151" s="4"/>
      <c r="H151" s="4"/>
    </row>
    <row r="152" ht="15.75" customHeight="1">
      <c r="D152" s="4"/>
      <c r="E152" s="4"/>
      <c r="F152" s="4"/>
      <c r="G152" s="4"/>
      <c r="H152" s="4"/>
    </row>
    <row r="153" ht="15.75" customHeight="1">
      <c r="D153" s="4"/>
      <c r="E153" s="4"/>
      <c r="F153" s="4"/>
      <c r="G153" s="4"/>
      <c r="H153" s="4"/>
    </row>
    <row r="154" ht="15.75" customHeight="1">
      <c r="D154" s="4"/>
      <c r="E154" s="4"/>
      <c r="F154" s="4"/>
      <c r="G154" s="4"/>
      <c r="H154" s="4"/>
    </row>
    <row r="155" ht="15.75" customHeight="1">
      <c r="D155" s="4"/>
      <c r="E155" s="4"/>
      <c r="F155" s="4"/>
      <c r="G155" s="4"/>
      <c r="H155" s="4"/>
    </row>
    <row r="156" ht="15.75" customHeight="1">
      <c r="D156" s="4"/>
      <c r="E156" s="4"/>
      <c r="F156" s="4"/>
      <c r="G156" s="4"/>
      <c r="H156" s="4"/>
    </row>
    <row r="157" ht="15.75" customHeight="1">
      <c r="D157" s="4"/>
      <c r="E157" s="4"/>
      <c r="F157" s="4"/>
      <c r="G157" s="4"/>
      <c r="H157" s="4"/>
    </row>
    <row r="158" ht="15.75" customHeight="1">
      <c r="D158" s="4"/>
      <c r="E158" s="4"/>
      <c r="F158" s="4"/>
      <c r="G158" s="4"/>
      <c r="H158" s="4"/>
    </row>
    <row r="159" ht="15.75" customHeight="1">
      <c r="D159" s="4"/>
      <c r="E159" s="4"/>
      <c r="F159" s="4"/>
      <c r="G159" s="4"/>
      <c r="H159" s="4"/>
    </row>
    <row r="160" ht="15.75" customHeight="1">
      <c r="D160" s="4"/>
      <c r="E160" s="4"/>
      <c r="F160" s="4"/>
      <c r="G160" s="4"/>
      <c r="H160" s="4"/>
    </row>
    <row r="161" ht="15.75" customHeight="1">
      <c r="D161" s="4"/>
      <c r="E161" s="4"/>
      <c r="F161" s="4"/>
      <c r="G161" s="4"/>
      <c r="H161" s="4"/>
    </row>
    <row r="162" ht="15.75" customHeight="1">
      <c r="D162" s="4"/>
      <c r="E162" s="4"/>
      <c r="F162" s="4"/>
      <c r="G162" s="4"/>
      <c r="H162" s="4"/>
    </row>
    <row r="163" ht="15.75" customHeight="1">
      <c r="D163" s="4"/>
      <c r="E163" s="4"/>
      <c r="F163" s="4"/>
      <c r="G163" s="4"/>
      <c r="H163" s="4"/>
    </row>
    <row r="164" ht="15.75" customHeight="1">
      <c r="D164" s="4"/>
      <c r="E164" s="4"/>
      <c r="F164" s="4"/>
      <c r="G164" s="4"/>
      <c r="H164" s="4"/>
    </row>
    <row r="165" ht="15.75" customHeight="1">
      <c r="D165" s="4"/>
      <c r="E165" s="4"/>
      <c r="F165" s="4"/>
      <c r="G165" s="4"/>
      <c r="H165" s="4"/>
    </row>
    <row r="166" ht="15.75" customHeight="1">
      <c r="D166" s="4"/>
      <c r="E166" s="4"/>
      <c r="F166" s="4"/>
      <c r="G166" s="4"/>
      <c r="H166" s="4"/>
    </row>
    <row r="167" ht="15.75" customHeight="1">
      <c r="D167" s="4"/>
      <c r="E167" s="4"/>
      <c r="F167" s="4"/>
      <c r="G167" s="4"/>
      <c r="H167" s="4"/>
    </row>
    <row r="168" ht="15.75" customHeight="1">
      <c r="D168" s="4"/>
      <c r="E168" s="4"/>
      <c r="F168" s="4"/>
      <c r="G168" s="4"/>
      <c r="H168" s="4"/>
    </row>
    <row r="169" ht="15.75" customHeight="1">
      <c r="D169" s="4"/>
      <c r="E169" s="4"/>
      <c r="F169" s="4"/>
      <c r="G169" s="4"/>
      <c r="H169" s="4"/>
    </row>
    <row r="170" ht="15.75" customHeight="1">
      <c r="D170" s="4"/>
      <c r="E170" s="4"/>
      <c r="F170" s="4"/>
      <c r="G170" s="4"/>
      <c r="H170" s="4"/>
    </row>
    <row r="171" ht="15.75" customHeight="1">
      <c r="D171" s="4"/>
      <c r="E171" s="4"/>
      <c r="F171" s="4"/>
      <c r="G171" s="4"/>
      <c r="H171" s="4"/>
    </row>
    <row r="172" ht="15.75" customHeight="1">
      <c r="D172" s="4"/>
      <c r="E172" s="4"/>
      <c r="F172" s="4"/>
      <c r="G172" s="4"/>
      <c r="H172" s="4"/>
    </row>
    <row r="173" ht="15.75" customHeight="1">
      <c r="D173" s="4"/>
      <c r="E173" s="4"/>
      <c r="F173" s="4"/>
      <c r="G173" s="4"/>
      <c r="H173" s="4"/>
    </row>
    <row r="174" ht="15.75" customHeight="1">
      <c r="D174" s="4"/>
      <c r="E174" s="4"/>
      <c r="F174" s="4"/>
      <c r="G174" s="4"/>
      <c r="H174" s="4"/>
    </row>
    <row r="175" ht="15.75" customHeight="1">
      <c r="D175" s="4"/>
      <c r="E175" s="4"/>
      <c r="F175" s="4"/>
      <c r="G175" s="4"/>
      <c r="H175" s="4"/>
    </row>
    <row r="176" ht="15.75" customHeight="1">
      <c r="D176" s="4"/>
      <c r="E176" s="4"/>
      <c r="F176" s="4"/>
      <c r="G176" s="4"/>
      <c r="H176" s="4"/>
    </row>
    <row r="177" ht="15.75" customHeight="1">
      <c r="D177" s="4"/>
      <c r="E177" s="4"/>
      <c r="F177" s="4"/>
      <c r="G177" s="4"/>
      <c r="H177" s="4"/>
    </row>
    <row r="178" ht="15.75" customHeight="1">
      <c r="D178" s="4"/>
      <c r="E178" s="4"/>
      <c r="F178" s="4"/>
      <c r="G178" s="4"/>
      <c r="H178" s="4"/>
    </row>
    <row r="179" ht="15.75" customHeight="1">
      <c r="D179" s="4"/>
      <c r="E179" s="4"/>
      <c r="F179" s="4"/>
      <c r="G179" s="4"/>
      <c r="H179" s="4"/>
    </row>
    <row r="180" ht="15.75" customHeight="1">
      <c r="D180" s="4"/>
      <c r="E180" s="4"/>
      <c r="F180" s="4"/>
      <c r="G180" s="4"/>
      <c r="H180" s="4"/>
    </row>
    <row r="181" ht="15.75" customHeight="1">
      <c r="D181" s="4"/>
      <c r="E181" s="4"/>
      <c r="F181" s="4"/>
      <c r="G181" s="4"/>
      <c r="H181" s="4"/>
    </row>
    <row r="182" ht="15.75" customHeight="1">
      <c r="D182" s="4"/>
      <c r="E182" s="4"/>
      <c r="F182" s="4"/>
      <c r="G182" s="4"/>
      <c r="H182" s="4"/>
    </row>
    <row r="183" ht="15.75" customHeight="1">
      <c r="D183" s="4"/>
      <c r="E183" s="4"/>
      <c r="F183" s="4"/>
      <c r="G183" s="4"/>
      <c r="H183" s="4"/>
    </row>
    <row r="184" ht="15.75" customHeight="1">
      <c r="D184" s="4"/>
      <c r="E184" s="4"/>
      <c r="F184" s="4"/>
      <c r="G184" s="4"/>
      <c r="H184" s="4"/>
    </row>
    <row r="185" ht="15.75" customHeight="1">
      <c r="D185" s="4"/>
      <c r="E185" s="4"/>
      <c r="F185" s="4"/>
      <c r="G185" s="4"/>
      <c r="H185" s="4"/>
    </row>
    <row r="186" ht="15.75" customHeight="1">
      <c r="D186" s="4"/>
      <c r="E186" s="4"/>
      <c r="F186" s="4"/>
      <c r="G186" s="4"/>
      <c r="H186" s="4"/>
    </row>
    <row r="187" ht="15.75" customHeight="1">
      <c r="D187" s="4"/>
      <c r="E187" s="4"/>
      <c r="F187" s="4"/>
      <c r="G187" s="4"/>
      <c r="H187" s="4"/>
    </row>
    <row r="188" ht="15.75" customHeight="1">
      <c r="D188" s="4"/>
      <c r="E188" s="4"/>
      <c r="F188" s="4"/>
      <c r="G188" s="4"/>
      <c r="H188" s="4"/>
    </row>
    <row r="189" ht="15.75" customHeight="1">
      <c r="D189" s="4"/>
      <c r="E189" s="4"/>
      <c r="F189" s="4"/>
      <c r="G189" s="4"/>
      <c r="H189" s="4"/>
    </row>
    <row r="190" ht="15.75" customHeight="1">
      <c r="D190" s="4"/>
      <c r="E190" s="4"/>
      <c r="F190" s="4"/>
      <c r="G190" s="4"/>
      <c r="H190" s="4"/>
    </row>
    <row r="191" ht="15.75" customHeight="1">
      <c r="D191" s="4"/>
      <c r="E191" s="4"/>
      <c r="F191" s="4"/>
      <c r="G191" s="4"/>
      <c r="H191" s="4"/>
    </row>
    <row r="192" ht="15.75" customHeight="1">
      <c r="D192" s="4"/>
      <c r="E192" s="4"/>
      <c r="F192" s="4"/>
      <c r="G192" s="4"/>
      <c r="H192" s="4"/>
    </row>
    <row r="193" ht="15.75" customHeight="1">
      <c r="D193" s="4"/>
      <c r="E193" s="4"/>
      <c r="F193" s="4"/>
      <c r="G193" s="4"/>
      <c r="H193" s="4"/>
    </row>
    <row r="194" ht="15.75" customHeight="1">
      <c r="D194" s="4"/>
      <c r="E194" s="4"/>
      <c r="F194" s="4"/>
      <c r="G194" s="4"/>
      <c r="H194" s="4"/>
    </row>
    <row r="195" ht="15.75" customHeight="1">
      <c r="D195" s="4"/>
      <c r="E195" s="4"/>
      <c r="F195" s="4"/>
      <c r="G195" s="4"/>
      <c r="H195" s="4"/>
    </row>
    <row r="196" ht="15.75" customHeight="1">
      <c r="D196" s="4"/>
      <c r="E196" s="4"/>
      <c r="F196" s="4"/>
      <c r="G196" s="4"/>
      <c r="H196" s="4"/>
    </row>
    <row r="197" ht="15.75" customHeight="1">
      <c r="D197" s="4"/>
      <c r="E197" s="4"/>
      <c r="F197" s="4"/>
      <c r="G197" s="4"/>
      <c r="H197" s="4"/>
    </row>
    <row r="198" ht="15.75" customHeight="1">
      <c r="D198" s="4"/>
      <c r="E198" s="4"/>
      <c r="F198" s="4"/>
      <c r="G198" s="4"/>
      <c r="H198" s="4"/>
    </row>
    <row r="199" ht="15.75" customHeight="1">
      <c r="D199" s="4"/>
      <c r="E199" s="4"/>
      <c r="F199" s="4"/>
      <c r="G199" s="4"/>
      <c r="H199" s="4"/>
    </row>
    <row r="200" ht="15.75" customHeight="1">
      <c r="D200" s="4"/>
      <c r="E200" s="4"/>
      <c r="F200" s="4"/>
      <c r="G200" s="4"/>
      <c r="H200" s="4"/>
    </row>
    <row r="201" ht="15.75" customHeight="1">
      <c r="D201" s="4"/>
      <c r="E201" s="4"/>
      <c r="F201" s="4"/>
      <c r="G201" s="4"/>
      <c r="H201" s="4"/>
    </row>
    <row r="202" ht="15.75" customHeight="1">
      <c r="D202" s="4"/>
      <c r="E202" s="4"/>
      <c r="F202" s="4"/>
      <c r="G202" s="4"/>
      <c r="H202" s="4"/>
    </row>
    <row r="203" ht="15.75" customHeight="1">
      <c r="D203" s="4"/>
      <c r="E203" s="4"/>
      <c r="F203" s="4"/>
      <c r="G203" s="4"/>
      <c r="H203" s="4"/>
    </row>
    <row r="204" ht="15.75" customHeight="1">
      <c r="D204" s="4"/>
      <c r="E204" s="4"/>
      <c r="F204" s="4"/>
      <c r="G204" s="4"/>
      <c r="H204" s="4"/>
    </row>
    <row r="205" ht="15.75" customHeight="1">
      <c r="D205" s="4"/>
      <c r="E205" s="4"/>
      <c r="F205" s="4"/>
      <c r="G205" s="4"/>
      <c r="H205" s="4"/>
    </row>
    <row r="206" ht="15.75" customHeight="1">
      <c r="D206" s="4"/>
      <c r="E206" s="4"/>
      <c r="F206" s="4"/>
      <c r="G206" s="4"/>
      <c r="H206" s="4"/>
    </row>
    <row r="207" ht="15.75" customHeight="1">
      <c r="D207" s="4"/>
      <c r="E207" s="4"/>
      <c r="F207" s="4"/>
      <c r="G207" s="4"/>
      <c r="H207" s="4"/>
    </row>
    <row r="208" ht="15.75" customHeight="1">
      <c r="D208" s="4"/>
      <c r="E208" s="4"/>
      <c r="F208" s="4"/>
      <c r="G208" s="4"/>
      <c r="H208" s="4"/>
    </row>
    <row r="209" ht="15.75" customHeight="1">
      <c r="D209" s="4"/>
      <c r="E209" s="4"/>
      <c r="F209" s="4"/>
      <c r="G209" s="4"/>
      <c r="H209" s="4"/>
    </row>
    <row r="210" ht="15.75" customHeight="1">
      <c r="D210" s="4"/>
      <c r="E210" s="4"/>
      <c r="F210" s="4"/>
      <c r="G210" s="4"/>
      <c r="H210" s="4"/>
    </row>
    <row r="211" ht="15.75" customHeight="1">
      <c r="D211" s="4"/>
      <c r="E211" s="4"/>
      <c r="F211" s="4"/>
      <c r="G211" s="4"/>
      <c r="H211" s="4"/>
    </row>
    <row r="212" ht="15.75" customHeight="1">
      <c r="D212" s="4"/>
      <c r="E212" s="4"/>
      <c r="F212" s="4"/>
      <c r="G212" s="4"/>
      <c r="H212" s="4"/>
    </row>
    <row r="213" ht="15.75" customHeight="1">
      <c r="D213" s="4"/>
      <c r="E213" s="4"/>
      <c r="F213" s="4"/>
      <c r="G213" s="4"/>
      <c r="H213" s="4"/>
    </row>
    <row r="214" ht="15.75" customHeight="1">
      <c r="D214" s="4"/>
      <c r="E214" s="4"/>
      <c r="F214" s="4"/>
      <c r="G214" s="4"/>
      <c r="H214" s="4"/>
    </row>
    <row r="215" ht="15.75" customHeight="1">
      <c r="D215" s="4"/>
      <c r="E215" s="4"/>
      <c r="F215" s="4"/>
      <c r="G215" s="4"/>
      <c r="H215" s="4"/>
    </row>
    <row r="216" ht="15.75" customHeight="1">
      <c r="D216" s="4"/>
      <c r="E216" s="4"/>
      <c r="F216" s="4"/>
      <c r="G216" s="4"/>
      <c r="H216" s="4"/>
    </row>
    <row r="217" ht="15.75" customHeight="1">
      <c r="D217" s="4"/>
      <c r="E217" s="4"/>
      <c r="F217" s="4"/>
      <c r="G217" s="4"/>
      <c r="H217" s="4"/>
    </row>
    <row r="218" ht="15.75" customHeight="1">
      <c r="D218" s="4"/>
      <c r="E218" s="4"/>
      <c r="F218" s="4"/>
      <c r="G218" s="4"/>
      <c r="H218" s="4"/>
    </row>
    <row r="219" ht="15.75" customHeight="1">
      <c r="D219" s="4"/>
      <c r="E219" s="4"/>
      <c r="F219" s="4"/>
      <c r="G219" s="4"/>
      <c r="H219" s="4"/>
    </row>
    <row r="220" ht="15.75" customHeight="1">
      <c r="D220" s="4"/>
      <c r="E220" s="4"/>
      <c r="F220" s="4"/>
      <c r="G220" s="4"/>
      <c r="H220" s="4"/>
    </row>
    <row r="221" ht="15.75" customHeight="1">
      <c r="D221" s="4"/>
      <c r="E221" s="4"/>
      <c r="F221" s="4"/>
      <c r="G221" s="4"/>
      <c r="H221" s="4"/>
    </row>
    <row r="222" ht="15.75" customHeight="1">
      <c r="D222" s="4"/>
      <c r="E222" s="4"/>
      <c r="F222" s="4"/>
      <c r="G222" s="4"/>
      <c r="H222" s="4"/>
    </row>
    <row r="223" ht="15.75" customHeight="1">
      <c r="D223" s="4"/>
      <c r="E223" s="4"/>
      <c r="F223" s="4"/>
      <c r="G223" s="4"/>
      <c r="H223" s="4"/>
    </row>
    <row r="224" ht="15.75" customHeight="1">
      <c r="D224" s="4"/>
      <c r="E224" s="4"/>
      <c r="F224" s="4"/>
      <c r="G224" s="4"/>
      <c r="H224" s="4"/>
    </row>
    <row r="225" ht="15.75" customHeight="1">
      <c r="D225" s="4"/>
      <c r="E225" s="4"/>
      <c r="F225" s="4"/>
      <c r="G225" s="4"/>
      <c r="H225" s="4"/>
    </row>
    <row r="226" ht="15.75" customHeight="1">
      <c r="D226" s="4"/>
      <c r="E226" s="4"/>
      <c r="F226" s="4"/>
      <c r="G226" s="4"/>
      <c r="H226" s="4"/>
    </row>
    <row r="227" ht="15.75" customHeight="1">
      <c r="D227" s="4"/>
      <c r="E227" s="4"/>
      <c r="F227" s="4"/>
      <c r="G227" s="4"/>
      <c r="H227" s="4"/>
    </row>
    <row r="228" ht="15.75" customHeight="1">
      <c r="D228" s="4"/>
      <c r="E228" s="4"/>
      <c r="F228" s="4"/>
      <c r="G228" s="4"/>
      <c r="H228" s="4"/>
    </row>
    <row r="229" ht="15.75" customHeight="1">
      <c r="D229" s="4"/>
      <c r="E229" s="4"/>
      <c r="F229" s="4"/>
      <c r="G229" s="4"/>
      <c r="H229" s="4"/>
    </row>
    <row r="230" ht="15.75" customHeight="1">
      <c r="D230" s="4"/>
      <c r="E230" s="4"/>
      <c r="F230" s="4"/>
      <c r="G230" s="4"/>
      <c r="H230" s="4"/>
    </row>
    <row r="231" ht="15.75" customHeight="1">
      <c r="D231" s="4"/>
      <c r="E231" s="4"/>
      <c r="F231" s="4"/>
      <c r="G231" s="4"/>
      <c r="H231" s="4"/>
    </row>
    <row r="232" ht="15.75" customHeight="1">
      <c r="D232" s="4"/>
      <c r="E232" s="4"/>
      <c r="F232" s="4"/>
      <c r="G232" s="4"/>
      <c r="H232" s="4"/>
    </row>
    <row r="233" ht="15.75" customHeight="1">
      <c r="D233" s="4"/>
      <c r="E233" s="4"/>
      <c r="F233" s="4"/>
      <c r="G233" s="4"/>
      <c r="H233" s="4"/>
    </row>
    <row r="234" ht="15.75" customHeight="1">
      <c r="D234" s="4"/>
      <c r="E234" s="4"/>
      <c r="F234" s="4"/>
      <c r="G234" s="4"/>
      <c r="H234" s="4"/>
    </row>
    <row r="235" ht="15.75" customHeight="1">
      <c r="D235" s="4"/>
      <c r="E235" s="4"/>
      <c r="F235" s="4"/>
      <c r="G235" s="4"/>
      <c r="H235" s="4"/>
    </row>
    <row r="236" ht="15.75" customHeight="1">
      <c r="D236" s="4"/>
      <c r="E236" s="4"/>
      <c r="F236" s="4"/>
      <c r="G236" s="4"/>
      <c r="H236" s="4"/>
    </row>
    <row r="237" ht="15.75" customHeight="1">
      <c r="D237" s="4"/>
      <c r="E237" s="4"/>
      <c r="F237" s="4"/>
      <c r="G237" s="4"/>
      <c r="H237" s="4"/>
    </row>
    <row r="238" ht="15.75" customHeight="1">
      <c r="D238" s="4"/>
      <c r="E238" s="4"/>
      <c r="F238" s="4"/>
      <c r="G238" s="4"/>
      <c r="H238" s="4"/>
    </row>
    <row r="239" ht="15.75" customHeight="1">
      <c r="D239" s="4"/>
      <c r="E239" s="4"/>
      <c r="F239" s="4"/>
      <c r="G239" s="4"/>
      <c r="H239" s="4"/>
    </row>
    <row r="240" ht="15.75" customHeight="1">
      <c r="D240" s="4"/>
      <c r="E240" s="4"/>
      <c r="F240" s="4"/>
      <c r="G240" s="4"/>
      <c r="H240" s="4"/>
    </row>
    <row r="241" ht="15.75" customHeight="1">
      <c r="D241" s="4"/>
      <c r="E241" s="4"/>
      <c r="F241" s="4"/>
      <c r="G241" s="4"/>
      <c r="H241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4" t="s">
        <v>109</v>
      </c>
    </row>
    <row r="2" ht="15.75" customHeight="1">
      <c r="A2" s="14" t="s">
        <v>10</v>
      </c>
    </row>
    <row r="3" ht="15.75" customHeight="1">
      <c r="A3" s="14" t="s">
        <v>11</v>
      </c>
    </row>
    <row r="4" ht="15.75" customHeight="1">
      <c r="A4" s="14" t="s">
        <v>2</v>
      </c>
    </row>
    <row r="5" ht="15.75" customHeight="1">
      <c r="A5" s="14" t="s">
        <v>3</v>
      </c>
    </row>
    <row r="6" ht="15.75" customHeight="1">
      <c r="A6" s="14" t="s">
        <v>4</v>
      </c>
    </row>
    <row r="7" ht="15.75" customHeight="1">
      <c r="A7" s="14" t="s">
        <v>5</v>
      </c>
      <c r="B7" s="1" t="str">
        <f>7</f>
        <v>7</v>
      </c>
    </row>
    <row r="8" ht="15.75" customHeight="1">
      <c r="A8" s="14" t="s">
        <v>110</v>
      </c>
    </row>
    <row r="9" ht="15.75" customHeight="1">
      <c r="A9" s="14" t="s">
        <v>9</v>
      </c>
    </row>
    <row r="10" ht="15.75" customHeight="1">
      <c r="A10" s="14" t="s">
        <v>7</v>
      </c>
      <c r="B10" s="1" t="str">
        <f>5</f>
        <v>5</v>
      </c>
    </row>
    <row r="11" ht="15.75" customHeight="1">
      <c r="A11" s="14" t="s">
        <v>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